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AD129F23-F2D0-425C-86A7-140409B7FAFD}" xr6:coauthVersionLast="47" xr6:coauthVersionMax="47" xr10:uidLastSave="{00000000-0000-0000-0000-000000000000}"/>
  <bookViews>
    <workbookView xWindow="-109" yWindow="-109" windowWidth="34995" windowHeight="19060" xr2:uid="{62758DF3-0AA8-4524-8049-0D8AB62D465E}"/>
  </bookViews>
  <sheets>
    <sheet name="Prehled" sheetId="1" r:id="rId1"/>
    <sheet name="U1_tabulka" sheetId="2" r:id="rId2"/>
    <sheet name="U2_screening" sheetId="3" r:id="rId3"/>
    <sheet name="U3_tipovani" sheetId="4" r:id="rId4"/>
    <sheet name="U4_test_20" sheetId="5" r:id="rId5"/>
    <sheet name="U5_aproxima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2" i="6" l="1"/>
  <c r="R19" i="6"/>
  <c r="R18" i="6"/>
  <c r="R10" i="6"/>
  <c r="R6" i="6"/>
  <c r="R5" i="6"/>
  <c r="R9" i="6" s="1"/>
  <c r="K34" i="6"/>
  <c r="M34" i="6" s="1"/>
  <c r="K33" i="6"/>
  <c r="M33" i="6" s="1"/>
  <c r="K32" i="6"/>
  <c r="M32" i="6" s="1"/>
  <c r="K31" i="6"/>
  <c r="M31" i="6" s="1"/>
  <c r="K30" i="6"/>
  <c r="M30" i="6" s="1"/>
  <c r="L29" i="6"/>
  <c r="K29" i="6"/>
  <c r="M29" i="6" s="1"/>
  <c r="K28" i="6"/>
  <c r="M28" i="6" s="1"/>
  <c r="K27" i="6"/>
  <c r="M27" i="6" s="1"/>
  <c r="K26" i="6"/>
  <c r="M26" i="6" s="1"/>
  <c r="K25" i="6"/>
  <c r="M25" i="6" s="1"/>
  <c r="K24" i="6"/>
  <c r="M24" i="6" s="1"/>
  <c r="K23" i="6"/>
  <c r="M23" i="6" s="1"/>
  <c r="K22" i="6"/>
  <c r="M22" i="6" s="1"/>
  <c r="K21" i="6"/>
  <c r="M21" i="6" s="1"/>
  <c r="K20" i="6"/>
  <c r="M20" i="6" s="1"/>
  <c r="K19" i="6"/>
  <c r="M19" i="6" s="1"/>
  <c r="K18" i="6"/>
  <c r="M18" i="6" s="1"/>
  <c r="K17" i="6"/>
  <c r="M17" i="6" s="1"/>
  <c r="K16" i="6"/>
  <c r="M16" i="6" s="1"/>
  <c r="K15" i="6"/>
  <c r="M15" i="6" s="1"/>
  <c r="K14" i="6"/>
  <c r="M14" i="6" s="1"/>
  <c r="K13" i="6"/>
  <c r="M13" i="6" s="1"/>
  <c r="K12" i="6"/>
  <c r="M12" i="6" s="1"/>
  <c r="K11" i="6"/>
  <c r="M11" i="6" s="1"/>
  <c r="K10" i="6"/>
  <c r="M10" i="6" s="1"/>
  <c r="K9" i="6"/>
  <c r="M9" i="6" s="1"/>
  <c r="K8" i="6"/>
  <c r="M8" i="6" s="1"/>
  <c r="K7" i="6"/>
  <c r="M7" i="6" s="1"/>
  <c r="K6" i="6"/>
  <c r="M6" i="6" s="1"/>
  <c r="K5" i="6"/>
  <c r="M5" i="6" s="1"/>
  <c r="K4" i="6"/>
  <c r="M4" i="6" s="1"/>
  <c r="R18" i="5"/>
  <c r="R17" i="5"/>
  <c r="R15" i="5"/>
  <c r="R10" i="5"/>
  <c r="R9" i="5"/>
  <c r="R11" i="5" s="1"/>
  <c r="R6" i="5"/>
  <c r="R5" i="5"/>
  <c r="R7" i="5" s="1"/>
  <c r="K24" i="5"/>
  <c r="M24" i="5" s="1"/>
  <c r="K23" i="5"/>
  <c r="M23" i="5" s="1"/>
  <c r="K22" i="5"/>
  <c r="M22" i="5" s="1"/>
  <c r="L21" i="5"/>
  <c r="K21" i="5"/>
  <c r="M21" i="5" s="1"/>
  <c r="K20" i="5"/>
  <c r="M20" i="5" s="1"/>
  <c r="K19" i="5"/>
  <c r="M19" i="5" s="1"/>
  <c r="K18" i="5"/>
  <c r="M18" i="5" s="1"/>
  <c r="K17" i="5"/>
  <c r="M17" i="5" s="1"/>
  <c r="K16" i="5"/>
  <c r="M16" i="5" s="1"/>
  <c r="K15" i="5"/>
  <c r="M15" i="5" s="1"/>
  <c r="K14" i="5"/>
  <c r="M14" i="5" s="1"/>
  <c r="K13" i="5"/>
  <c r="M13" i="5" s="1"/>
  <c r="K12" i="5"/>
  <c r="M12" i="5" s="1"/>
  <c r="K11" i="5"/>
  <c r="M11" i="5" s="1"/>
  <c r="K10" i="5"/>
  <c r="M10" i="5" s="1"/>
  <c r="K9" i="5"/>
  <c r="L9" i="5" s="1"/>
  <c r="K8" i="5"/>
  <c r="M8" i="5" s="1"/>
  <c r="K7" i="5"/>
  <c r="M7" i="5" s="1"/>
  <c r="K6" i="5"/>
  <c r="M6" i="5" s="1"/>
  <c r="K5" i="5"/>
  <c r="K4" i="5"/>
  <c r="M4" i="5" s="1"/>
  <c r="R4" i="4"/>
  <c r="R18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M6" i="4"/>
  <c r="K6" i="4"/>
  <c r="L6" i="4" s="1"/>
  <c r="K5" i="4"/>
  <c r="L5" i="4" s="1"/>
  <c r="K4" i="4"/>
  <c r="S18" i="3"/>
  <c r="S19" i="3" s="1"/>
  <c r="S22" i="3" s="1"/>
  <c r="R18" i="3"/>
  <c r="R19" i="3" s="1"/>
  <c r="R22" i="3" s="1"/>
  <c r="S16" i="3"/>
  <c r="R16" i="3"/>
  <c r="S5" i="3"/>
  <c r="R5" i="3"/>
  <c r="R7" i="3" s="1"/>
  <c r="R16" i="2"/>
  <c r="R15" i="2"/>
  <c r="R8" i="2"/>
  <c r="R12" i="2" s="1"/>
  <c r="R7" i="2"/>
  <c r="R6" i="2"/>
  <c r="R5" i="2"/>
  <c r="R14" i="2" s="1"/>
  <c r="L6" i="5" l="1"/>
  <c r="L18" i="5"/>
  <c r="L11" i="6"/>
  <c r="L20" i="6"/>
  <c r="N20" i="6" s="1"/>
  <c r="L12" i="5"/>
  <c r="L14" i="6"/>
  <c r="N14" i="6" s="1"/>
  <c r="M9" i="5"/>
  <c r="N9" i="5" s="1"/>
  <c r="L24" i="5"/>
  <c r="N24" i="5" s="1"/>
  <c r="L15" i="5"/>
  <c r="N15" i="5" s="1"/>
  <c r="L5" i="6"/>
  <c r="N5" i="6" s="1"/>
  <c r="S8" i="3"/>
  <c r="R6" i="3"/>
  <c r="L23" i="6"/>
  <c r="N23" i="6" s="1"/>
  <c r="L8" i="6"/>
  <c r="N8" i="6" s="1"/>
  <c r="L17" i="6"/>
  <c r="L26" i="6"/>
  <c r="S7" i="3"/>
  <c r="N12" i="5"/>
  <c r="T15" i="5"/>
  <c r="L32" i="6"/>
  <c r="N32" i="6" s="1"/>
  <c r="S6" i="3"/>
  <c r="N18" i="5"/>
  <c r="R20" i="6"/>
  <c r="R24" i="6" s="1"/>
  <c r="N6" i="5"/>
  <c r="N21" i="5"/>
  <c r="N6" i="4"/>
  <c r="R7" i="4"/>
  <c r="R11" i="6"/>
  <c r="R12" i="6" s="1"/>
  <c r="R23" i="6"/>
  <c r="R13" i="6"/>
  <c r="R14" i="6" s="1"/>
  <c r="N17" i="6"/>
  <c r="N26" i="6"/>
  <c r="N5" i="4"/>
  <c r="N11" i="6"/>
  <c r="N29" i="6"/>
  <c r="M12" i="4"/>
  <c r="N12" i="4" s="1"/>
  <c r="M5" i="4"/>
  <c r="R19" i="4"/>
  <c r="M10" i="4"/>
  <c r="N10" i="4" s="1"/>
  <c r="R6" i="4"/>
  <c r="T18" i="4" s="1"/>
  <c r="L5" i="5"/>
  <c r="L8" i="5"/>
  <c r="N8" i="5" s="1"/>
  <c r="L11" i="5"/>
  <c r="N11" i="5" s="1"/>
  <c r="L14" i="5"/>
  <c r="N14" i="5" s="1"/>
  <c r="L17" i="5"/>
  <c r="N17" i="5" s="1"/>
  <c r="L20" i="5"/>
  <c r="N20" i="5" s="1"/>
  <c r="L23" i="5"/>
  <c r="N23" i="5" s="1"/>
  <c r="L4" i="6"/>
  <c r="N4" i="6" s="1"/>
  <c r="L7" i="6"/>
  <c r="N7" i="6" s="1"/>
  <c r="L10" i="6"/>
  <c r="N10" i="6" s="1"/>
  <c r="L13" i="6"/>
  <c r="N13" i="6" s="1"/>
  <c r="L16" i="6"/>
  <c r="N16" i="6" s="1"/>
  <c r="L19" i="6"/>
  <c r="N19" i="6" s="1"/>
  <c r="L22" i="6"/>
  <c r="N22" i="6" s="1"/>
  <c r="L25" i="6"/>
  <c r="N25" i="6" s="1"/>
  <c r="L28" i="6"/>
  <c r="N28" i="6" s="1"/>
  <c r="L31" i="6"/>
  <c r="N31" i="6" s="1"/>
  <c r="L34" i="6"/>
  <c r="N34" i="6" s="1"/>
  <c r="R20" i="4"/>
  <c r="M5" i="5"/>
  <c r="R8" i="3"/>
  <c r="M8" i="4"/>
  <c r="N8" i="4" s="1"/>
  <c r="R18" i="2"/>
  <c r="M13" i="4"/>
  <c r="N13" i="4" s="1"/>
  <c r="R10" i="4"/>
  <c r="R21" i="4"/>
  <c r="R11" i="4"/>
  <c r="R16" i="5"/>
  <c r="T16" i="5" s="1"/>
  <c r="R7" i="6"/>
  <c r="L4" i="4"/>
  <c r="R22" i="4"/>
  <c r="R24" i="2"/>
  <c r="M4" i="4"/>
  <c r="R10" i="2"/>
  <c r="M11" i="4"/>
  <c r="N11" i="4" s="1"/>
  <c r="M9" i="4"/>
  <c r="N9" i="4" s="1"/>
  <c r="S9" i="3"/>
  <c r="S11" i="3" s="1"/>
  <c r="R11" i="2"/>
  <c r="M14" i="4"/>
  <c r="N14" i="4" s="1"/>
  <c r="O14" i="4" s="1"/>
  <c r="L4" i="5"/>
  <c r="N4" i="5" s="1"/>
  <c r="L7" i="5"/>
  <c r="N7" i="5" s="1"/>
  <c r="L10" i="5"/>
  <c r="N10" i="5" s="1"/>
  <c r="L13" i="5"/>
  <c r="N13" i="5" s="1"/>
  <c r="L16" i="5"/>
  <c r="N16" i="5" s="1"/>
  <c r="R12" i="5" s="1"/>
  <c r="L19" i="5"/>
  <c r="N19" i="5" s="1"/>
  <c r="L22" i="5"/>
  <c r="N22" i="5" s="1"/>
  <c r="L6" i="6"/>
  <c r="N6" i="6" s="1"/>
  <c r="L9" i="6"/>
  <c r="N9" i="6" s="1"/>
  <c r="L12" i="6"/>
  <c r="N12" i="6" s="1"/>
  <c r="L15" i="6"/>
  <c r="N15" i="6" s="1"/>
  <c r="L18" i="6"/>
  <c r="N18" i="6" s="1"/>
  <c r="L21" i="6"/>
  <c r="N21" i="6" s="1"/>
  <c r="L24" i="6"/>
  <c r="N24" i="6" s="1"/>
  <c r="L27" i="6"/>
  <c r="N27" i="6" s="1"/>
  <c r="L30" i="6"/>
  <c r="N30" i="6" s="1"/>
  <c r="L33" i="6"/>
  <c r="N33" i="6" s="1"/>
  <c r="M7" i="4"/>
  <c r="N7" i="4" s="1"/>
  <c r="O13" i="4" l="1"/>
  <c r="R9" i="3"/>
  <c r="R11" i="3" s="1"/>
  <c r="R16" i="6"/>
  <c r="T22" i="6" s="1"/>
  <c r="O9" i="4"/>
  <c r="R14" i="4"/>
  <c r="O11" i="4"/>
  <c r="O7" i="4"/>
  <c r="O8" i="4"/>
  <c r="R15" i="4"/>
  <c r="T18" i="5"/>
  <c r="T17" i="5"/>
  <c r="S21" i="3"/>
  <c r="S14" i="3"/>
  <c r="S10" i="3"/>
  <c r="R22" i="2"/>
  <c r="T22" i="2" s="1"/>
  <c r="R19" i="2"/>
  <c r="R20" i="2" s="1"/>
  <c r="R23" i="2"/>
  <c r="T23" i="2" s="1"/>
  <c r="O6" i="4"/>
  <c r="R13" i="4"/>
  <c r="T20" i="4" s="1"/>
  <c r="O10" i="4"/>
  <c r="O12" i="4"/>
  <c r="N5" i="5"/>
  <c r="R13" i="5" s="1"/>
  <c r="T24" i="2"/>
  <c r="T19" i="4"/>
  <c r="T24" i="6"/>
  <c r="N4" i="4"/>
  <c r="T23" i="6"/>
  <c r="O5" i="4"/>
  <c r="T21" i="4" l="1"/>
  <c r="R21" i="3"/>
  <c r="R14" i="3"/>
  <c r="U22" i="3" s="1"/>
  <c r="U21" i="3"/>
  <c r="R10" i="3"/>
  <c r="R12" i="3" s="1"/>
  <c r="R15" i="3" s="1"/>
  <c r="S12" i="3"/>
  <c r="S15" i="3" s="1"/>
  <c r="O4" i="4"/>
  <c r="R16" i="4" s="1"/>
  <c r="T22" i="4" s="1"/>
  <c r="R8" i="4"/>
</calcChain>
</file>

<file path=xl/sharedStrings.xml><?xml version="1.0" encoding="utf-8"?>
<sst xmlns="http://schemas.openxmlformats.org/spreadsheetml/2006/main" count="373" uniqueCount="309">
  <si>
    <t>Cvičení v Excelu k prezentaci: Pravděpodobnost (kapitola 5)</t>
  </si>
  <si>
    <t>Sešit obsahuje zadání, vstupní údaje, potřebné vztahy, pracovní oblast a řešení po krocích. Lze jej použít samostatně, bez prezentace.</t>
  </si>
  <si>
    <t>List</t>
  </si>
  <si>
    <t>Vstupy</t>
  </si>
  <si>
    <t>Úkol</t>
  </si>
  <si>
    <t>U1_tabulka</t>
  </si>
  <si>
    <t>D4:E5: kontingenční tabulka 160 studentů (přípravný kurz × výsledek zkoušky napoprvé)</t>
  </si>
  <si>
    <t>Úkol 1: marginální, společná a podmíněné pravděpodobnosti, sjednocení, nezávislost a meze závěru</t>
  </si>
  <si>
    <t>U2_screening</t>
  </si>
  <si>
    <t>D4:D8: počet žen, prevalence, podíly pozitivních mamografií se zhoubným nádorem prsu a bez něj, zlepšený test</t>
  </si>
  <si>
    <t>Úkol 2: přirozené četnosti, prediktivní hodnoty, úplná pravděpodobnost a Bayesova věta pro dva testy</t>
  </si>
  <si>
    <t>U3_tipovani</t>
  </si>
  <si>
    <t>D4:D5: počet účastníků a počet možností</t>
  </si>
  <si>
    <t>Úkol 3: binomické rozdělení počtu správných tipů, graf, μ a σ, pravděpodobnost 6 a více správných a hranice vzácného výsledku</t>
  </si>
  <si>
    <t>U4_test_20</t>
  </si>
  <si>
    <t>D4:D6: počet otázek, pravděpodobnost správného tipu, počet správných odpovědí</t>
  </si>
  <si>
    <t>Úkol 4: pravděpodobnost právě 11 a alespoň 11 správných odpovědí při tipování a interpretace</t>
  </si>
  <si>
    <t>U5_aproximace</t>
  </si>
  <si>
    <t>D4:D6: počet uchazečů, pravděpodobnost úspěchu, počet úspěšných</t>
  </si>
  <si>
    <t>Úkol 5: podmínka a výpočet normální aproximace, srovnání s přesnou hodnotou, převod na podíl</t>
  </si>
  <si>
    <t>Jak s listy pracovat</t>
  </si>
  <si>
    <t>Blok „Potřebné vztahy“</t>
  </si>
  <si>
    <t>Žluté buňky</t>
  </si>
  <si>
    <t>Modrý blok „Řešení po krocích“</t>
  </si>
  <si>
    <t>Světle modré sloupce K až O</t>
  </si>
  <si>
    <t>Zelené řádky</t>
  </si>
  <si>
    <t>Konvence</t>
  </si>
  <si>
    <t>Pod zadáním jsou obecné rovnice potřebné k úkolu, zapsané ve značení učebnice a s vysvětlením symbolů. Řešení po krocích ukazuje, jak do nich dosadit.</t>
  </si>
  <si>
    <t>Pracovní oblast pro vlastní výpočty. Vyplňte ji dříve, než se podíváte na řešení.</t>
  </si>
  <si>
    <t>Výpočet rozepsaný základními operacemi: počty a součty z tabulky, podíly, součin a součet pravděpodobností, kombinační číslo (KOMBINACE) a mocniny. Plochu pod normální křivkou základními operacemi spočítat nelze; tento krok dělá funkce NORM.S.DIST.</t>
  </si>
  <si>
    <t>Pomocná tabulka binomického rozdělení: pro každý počet úspěchů k počet způsobů, pravděpodobnost jednoho způsobu a jejich součin P(X = k); u některých listů také P(X ≥ k).</t>
  </si>
  <si>
    <t>Kontrola přímou funkcí Excelu (s anglickým názvem), například BINOM.DIST, BINOM.DIST.RANGE, BINOM.INV nebo NORM.DIST. Sloupec „Shoda s kroky“ ukazuje, zda funkce vrací totéž co výpočet po krocích.</t>
  </si>
  <si>
    <t>České názvy funkcí, desetinná čárka, středník mezi argumenty. Pravděpodobnost úspěchu v binomickém modelu značíme π, malé p je relativní četnost. Mezivýpočty nezaokrouhlujte; pravděpodobnosti uvádějte na tři desetinná místa, velmi malé na čtyři. Funkce jsou dostupné v Excelu 2016 a novějším.</t>
  </si>
  <si>
    <t>Zdroj a původ údajů</t>
  </si>
  <si>
    <t>Úlohy U2 až U5 jsou českou adaptací úloh z učebnice: Howell, D. C. (2013). Statistical methods for psychology (8. vyd.). Wadsworth, Cengage Learning.</t>
  </si>
  <si>
    <t>U1: modelová tabulka vytvořená pro tuto výuku (nejde o skutečná data). U2: úlohy 5.36–5.38 (s. 135). U3: úlohy 5.21–5.23 (s. 133–134). U4: úloha 5.31 (s. 134). U5: úloha 5.33 (s. 134); otázka na zamítnutí hypotézy je nahrazena popisem, jak neobvyklý by výsledek byl.</t>
  </si>
  <si>
    <t>Čísla v U2 (výskyt 1 % ve věku 40 let, 80 % pozitivních mamografií u žen s nádorem, 9,6 % u žen bez něj) jsou učebnicová ilustrace, jak ji uvádí Howell; nepopisují současné screeningové programy.</t>
  </si>
  <si>
    <t>Data k výkladu kapitoly 5 jsou ve studentském sešitu kapitoly (data/kapitola_05.xlsx); tento sešit k prezentaci jej nenahrazuje.</t>
  </si>
  <si>
    <t>Úkol 1: Kontingenční tabulka, podmínka a nezávislost</t>
  </si>
  <si>
    <t>Modelový soubor 160 studentů: absolvování přípravného kurzu a výsledek zkoušky napoprvé (počty studentů).</t>
  </si>
  <si>
    <t>Zadání</t>
  </si>
  <si>
    <t>Skupina</t>
  </si>
  <si>
    <t>Složil</t>
  </si>
  <si>
    <t>Nesložil</t>
  </si>
  <si>
    <t>Pracovní oblast</t>
  </si>
  <si>
    <t>Výsledek</t>
  </si>
  <si>
    <t>Řešení po krocích</t>
  </si>
  <si>
    <t>Vzorec pro sloupec R</t>
  </si>
  <si>
    <t>Shoda s kroky</t>
  </si>
  <si>
    <t>Absolvoval přípravný kurz</t>
  </si>
  <si>
    <t>Bez přípravného kurzu</t>
  </si>
  <si>
    <t>U 160 studentů jsme zaznamenali, zda absolvovali nepovinný přípravný kurz a zda složili zkoušku napoprvé (tabulka v C3:E5). Náhodně vybereme jednoho z nich; každý má stejnou pravděpodobnost.</t>
  </si>
  <si>
    <t>Úkol 1. a) Určete marginální pravděpodobnost, že student zkoušku složil. b) Určete společnou pravděpodobnost P(kurz ∩ složil). c) Určete P(složil | kurz), P(kurz | složil) a P(složil | bez kurzu). Proč se první dvě liší? d) Určete P(kurz ∪ složil) dvěma způsoby. e) Jsou jevy „kurz“ a „složil“ v tomto souboru nezávislé? f) Lze usoudit, že kurz zvyšuje pravděpodobnost úspěchu?</t>
  </si>
  <si>
    <t>Postup: počítejte nejprve po krocích základními operacemi ve žluté oblasti (počty, součty, podíly, mocniny, KOMBINACE). Funkce BINOM.DIST, BINOM.DIST.RANGE a NORM.DIST použijte až nakonec, jen pro kontrolu výsledku.</t>
  </si>
  <si>
    <t>Zdroj: modelová data vytvořená pro tuto výuku.</t>
  </si>
  <si>
    <t>a) P(složil)</t>
  </si>
  <si>
    <t>b) P(kurz ∩ složil)</t>
  </si>
  <si>
    <t>c) P(složil | kurz)</t>
  </si>
  <si>
    <t>c) P(kurz | složil)</t>
  </si>
  <si>
    <t>c) P(složil | bez kurzu)</t>
  </si>
  <si>
    <t>d) P(kurz ∪ složil)</t>
  </si>
  <si>
    <t>e) P(kurz) × P(složil)</t>
  </si>
  <si>
    <t>Potřebné vztahy</t>
  </si>
  <si>
    <t>P(A | B) = podmíněná pravděpodobnost A za podmínky B; A ∩ B = oba jevy zároveň. V počtech: pole tabulky / součet řádku nebo sloupce podmínky.</t>
  </si>
  <si>
    <t>A ∪ B = alespoň jeden z jevů. Průnik odečítáme, jinak bychom jej započítali dvakrát.</t>
  </si>
  <si>
    <t>Jevy jsou nezávislé právě tehdy, když platí tato rovnost; ekvivalentně P(A | B) = P(A).</t>
  </si>
  <si>
    <t>Okraje tabulky (součty řádků a sloupců)</t>
  </si>
  <si>
    <t>1. Studenti s kurzem = složil + nesložil</t>
  </si>
  <si>
    <t>= D4+E4</t>
  </si>
  <si>
    <t>2. Studenti bez kurzu</t>
  </si>
  <si>
    <t>= D5+E5</t>
  </si>
  <si>
    <t>3. Studenti, kteří složili = s kurzem + bez kurzu</t>
  </si>
  <si>
    <t>= D4+D5</t>
  </si>
  <si>
    <t>4. Celkem</t>
  </si>
  <si>
    <t>= R5+R6</t>
  </si>
  <si>
    <t>a) Marginální a b) společná pravděpodobnost: dělíme celkem</t>
  </si>
  <si>
    <t>5. a) P(složil) = studenti, kteří složili / celkem</t>
  </si>
  <si>
    <t>= R7/R8</t>
  </si>
  <si>
    <t>6. P(kurz) = studenti s kurzem / celkem</t>
  </si>
  <si>
    <t>= R5/R8</t>
  </si>
  <si>
    <t>7. b) P(kurz ∩ složil) = pole „kurz, složil“ / celkem</t>
  </si>
  <si>
    <t>= D4/R8</t>
  </si>
  <si>
    <t>c) Podmíněné pravděpodobnosti: dělíme součtem podmínky</t>
  </si>
  <si>
    <t>8. P(složil | kurz) = pole / studenti s kurzem</t>
  </si>
  <si>
    <t>= D4/R5</t>
  </si>
  <si>
    <t>9. P(kurz | složil) = pole / studenti, kteří složili</t>
  </si>
  <si>
    <t>= D4/R7</t>
  </si>
  <si>
    <t>10. P(složil | bez kurzu) = pole / studenti bez kurzu</t>
  </si>
  <si>
    <t>= D5/R6</t>
  </si>
  <si>
    <t>d) Sjednocení a e) nezávislost</t>
  </si>
  <si>
    <t>11. d) P(kurz ∪ složil) = (tři pole kromě „bez kurzu, nesložil“) / celkem</t>
  </si>
  <si>
    <t>= (D4+E4+D5)/R8</t>
  </si>
  <si>
    <t>12. e) Součin P(kurz) × P(složil)</t>
  </si>
  <si>
    <t>= R11*R10</t>
  </si>
  <si>
    <t>13. e) Společná pravděpodobnost − součin (při nezávislosti 0)</t>
  </si>
  <si>
    <t>= R12-R19</t>
  </si>
  <si>
    <t>Kontroly jiným postupem</t>
  </si>
  <si>
    <t>Kontrola: součtové pravidlo P(kurz) + P(složil) − P(kurz ∩ složil)</t>
  </si>
  <si>
    <t>= R11+R10-R12</t>
  </si>
  <si>
    <t>Kontrola: součinové pravidlo P(kurz) × P(složil | kurz)</t>
  </si>
  <si>
    <t>= R11*R14</t>
  </si>
  <si>
    <t>Kontrola: opačný jev: 1 − P(bez kurzu ∩ nesložil)</t>
  </si>
  <si>
    <t>= 1-E5/R8</t>
  </si>
  <si>
    <t>Postup a interpretace</t>
  </si>
  <si>
    <t>a) Zkoušku složilo 48 + 54 = 102 ze 160 studentů: P(složil) = 0,638 (marginální pravděpodobnost z okraje tabulky). b) P(kurz ∩ složil) = 48 / 160 = 0,300 (vnitřní pole děleno celkem). c) Podmíněné pravděpodobnosti dělí pole součtem podmínky: P(složil | kurz) = 48 / 64 = 0,750, P(kurz | složil) = 48 / 102 = 0,471 a P(složil | bez kurzu) = 54 / 96 = 0,563. První dvě mají stejný čitatel, ale jiný celek: jednou se ptáme, jaká část absolventů kurzu složila, podruhé jaká část úspěšných absolvovala kurz. d) Sjednocení: (48 + 16 + 54) / 160 = 118 / 160 = 0,738; součtovým pravidlem 0,400 + 0,638 − 0,300 = 0,738; také 1 − 42 / 160. e) Jevy nezávislé nejsou: P(složil | kurz) = 0,750 se liší od P(složil) = 0,638 i od P(složil | bez kurzu) = 0,563 a společná pravděpodobnost 0,300 je vyšší než součin 0,255. f) Tabulka ukazuje souvislost v tomto souboru, ne účinek kurzu: do kurzu se mohli přihlásit studenti motivovanější nebo lépe připravení už předem. O příčině by vypovídalo spíše náhodné přiřazení ke kurzu. Navíc jde o jeden soubor; v jiném výběru by podíly vyšly trochu jinak.</t>
  </si>
  <si>
    <t>Úkol 2: Pozitivní mamografie a Bayesova věta</t>
  </si>
  <si>
    <t>Učebnicová ilustrace podle Howella: ženy ve věku 40 let, výskyt zhoubného nádoru prsu a výsledky mamografie.</t>
  </si>
  <si>
    <t>Vstup</t>
  </si>
  <si>
    <t>Hodnota</t>
  </si>
  <si>
    <t>Původní test</t>
  </si>
  <si>
    <t>Zlepšený test</t>
  </si>
  <si>
    <t>Počet žen (přirozené četnosti)</t>
  </si>
  <si>
    <t>Prevalence: P(nádor)</t>
  </si>
  <si>
    <t>Senzitivita: P(pozitivní | nádor)</t>
  </si>
  <si>
    <t>P(pozitivní | bez nádoru), původní</t>
  </si>
  <si>
    <t>P(pozitivní | bez nádoru), zlepšený</t>
  </si>
  <si>
    <t>Ve věku 40 let má zhoubný nádor prsu 1 % žen. Mamografie je pozitivní u 80 % žen s nádorem a u 9,6 % žen bez nádoru.</t>
  </si>
  <si>
    <t>Úkol 2. a) Sestavte přirozené četnosti pro 100 000 žen. b) Jaká je pravděpodobnost nádoru u ženy s pozitivní mamografií? Ověřte Bayesovou větou. c) Proč je výsledek tak nízký, když test zachytí 80 % žen s nádorem? d) Jak se výsledek změní, sníží-li se podíl pozitivních výsledků u žen bez nádoru na 5 %? e) Určete i prediktivní hodnotu negativního výsledku.</t>
  </si>
  <si>
    <t>Zdroj: Howell (2013), s. 135, úlohy 5.36–5.38. Česká adaptace.</t>
  </si>
  <si>
    <t>Ženy s nádorem a pozitivní mamografií</t>
  </si>
  <si>
    <t>Ženy bez nádoru s pozitivní mamografií</t>
  </si>
  <si>
    <t>Pozitivní celkem</t>
  </si>
  <si>
    <t>b) P(nádor | pozitivní)</t>
  </si>
  <si>
    <t>e) P(bez nádoru | negativní)</t>
  </si>
  <si>
    <t>A = nádor, A′ = bez nádoru, B = pozitivní výsledek. P(B | A) = senzitivita, P(B | A′) = podíl pozitivních mezi ženami bez nádoru.</t>
  </si>
  <si>
    <t>Čitatel je jedna cesta stromem (nádor a pozitivní výsledek), jmenovatel všechny cesty k pozitivnímu výsledku.</t>
  </si>
  <si>
    <t>Totéž v přirozených četnostech; obdobně prediktivní hodnota negativního testu = správně negativní / negativní celkem.</t>
  </si>
  <si>
    <t>a) Přirozené četnosti</t>
  </si>
  <si>
    <t>1. Ženy s nádorem = počet × prevalence</t>
  </si>
  <si>
    <t>= D4*D5</t>
  </si>
  <si>
    <t>2. Ženy bez nádoru = počet − ženy s nádorem</t>
  </si>
  <si>
    <t>= D4-R5</t>
  </si>
  <si>
    <t>3. Správně pozitivní = ženy s nádorem × senzitivita</t>
  </si>
  <si>
    <t>= R5*D6</t>
  </si>
  <si>
    <t>4. Falešně negativní = ženy s nádorem − správně pozitivní</t>
  </si>
  <si>
    <t>= R5-R7</t>
  </si>
  <si>
    <t>5. Falešně pozitivní = ženy bez nádoru × P(pozitivní | bez nádoru)</t>
  </si>
  <si>
    <t>= R6*D7</t>
  </si>
  <si>
    <t>6. Správně negativní = ženy bez nádoru − falešně pozitivní</t>
  </si>
  <si>
    <t>= R6-R9</t>
  </si>
  <si>
    <t>7. Pozitivní celkem = správně + falešně pozitivní</t>
  </si>
  <si>
    <t>= R7+R9</t>
  </si>
  <si>
    <t>8. Negativní celkem = falešně negativní + správně negativní</t>
  </si>
  <si>
    <t>= R8+R10</t>
  </si>
  <si>
    <t>b), d), e) Prediktivní hodnoty</t>
  </si>
  <si>
    <t>9. P(nádor | pozitivní) = správně pozitivní / pozitivní celkem</t>
  </si>
  <si>
    <t>= R7/R11</t>
  </si>
  <si>
    <t>10. P(bez nádoru | negativní) = správně negativní / negativní celkem</t>
  </si>
  <si>
    <t>= R10/R12</t>
  </si>
  <si>
    <t>11. Specificita = 1 − P(pozitivní | bez nádoru)</t>
  </si>
  <si>
    <t>= 1-D7</t>
  </si>
  <si>
    <t>Úplná pravděpodobnost a Bayesova věta</t>
  </si>
  <si>
    <t>12. P(pozitivní) = P(nádor) × P(poz. | nádor) + P(bez nádoru) × P(poz. | bez nádoru)</t>
  </si>
  <si>
    <t>= D5*D6+(1-D5)*D7</t>
  </si>
  <si>
    <t>13. Bayesova věta: P(nádor) × P(poz. | nádor) / P(pozitivní)</t>
  </si>
  <si>
    <t>= D5*D6/R18</t>
  </si>
  <si>
    <t>Kontroly</t>
  </si>
  <si>
    <t>Kontrola: přirozené četnosti: pozitivní celkem / počet žen</t>
  </si>
  <si>
    <t>= R11/D4</t>
  </si>
  <si>
    <t>Kontrola: Bayesova věta dává totéž co přirozené četnosti</t>
  </si>
  <si>
    <t>= R19</t>
  </si>
  <si>
    <t>a) Ze 100 000 žen má nádor 1 000; pozitivní mamografii z nich má 800, falešně negativní výsledek 200. Bez nádoru je 99 000 žen; falešně pozitivní výsledek má 9,6 % z nich, tedy 9 504, a správně negativní 89 496. b) Pozitivní výsledek má 800 + 9 504 = 10 304 žen a nádor z nich má 800: P(nádor | pozitivní) = 800 / 10 304 ≈ 0,078. Bayesova věta dává totéž: 0,01 × 0,80 / (0,01 × 0,80 + 0,99 × 0,096) = 0,008 / 0,10304 ≈ 0,078. c) Výsledek je nízký kvůli nízké základní četnosti: žen bez nádoru je 99krát více, takže i malá část z nich (9,6 %) tvoří početně mnohem větší skupinu falešně pozitivních výsledků (9 504) než správně pozitivní (800). Číslo 0,80 je P(pozitivní | nádor), ne hledaná P(nádor | pozitivní); jejich záměna je častá chyba. d) Při 5 % falešně pozitivních výsledků je jich 4 950 a P(nádor | pozitivní) = 800 / 5 750 ≈ 0,139; snížení falešně pozitivních výsledků prediktivní hodnotu téměř zdvojnásobí, ale i tak má nádor jen asi každá sedmá žena s pozitivním výsledkem. Pozitivní mamografie je proto důvodem k dalšímu vyšetření, ne diagnózou. e) Negativní výsledek je velmi spolehlivý: P(bez nádoru | negativní) = 89 496 / 89 696 ≈ 0,998 (u zlepšeného testu 94 050 / 94 250 ≈ 0,998). Čísla jsou učebnicovou ilustrací, ne údaji současného screeningu.</t>
  </si>
  <si>
    <t>Úkol 3: Rozdělení počtu správných tipů</t>
  </si>
  <si>
    <t>Úloha s pěti možnostmi: 10 účastníků, v prvním pokusu jen tipují (π = 1/5).</t>
  </si>
  <si>
    <t>Počet účastníků n</t>
  </si>
  <si>
    <t>Počet možností</t>
  </si>
  <si>
    <t>V úloze s pěti podněty experimentátor předem a libovolně určil jeden jako správný. V prvním pokusu nemají účastníci žádné vodítko a mohou jen tipovat; 10 účastníků tipuje nezávisle na sobě.</t>
  </si>
  <si>
    <t>Úkol 3. a) Sestavte rozdělení počtu správných tipů X v prvním pokusu (k = 0 až 10) a nakreslete sloupcový graf. b) Určete střední hodnotu a směrodatnou odchylku. c) Ve druhém pokusu odpovědělo správně 6 z 10. Jak pravděpodobný by byl takový nebo lepší výsledek, kdyby všichni jen tipovali? d) Od kolika správných by alespoň tak dobrý výsledek nastal při tipování nejvýše v 5 % případů?</t>
  </si>
  <si>
    <t>Zdroj: Howell (2013), s. 133–134, úlohy 5.21–5.23. Česká adaptace.</t>
  </si>
  <si>
    <t>π = 1 / počet možností</t>
  </si>
  <si>
    <t>P(X = 2)</t>
  </si>
  <si>
    <t>Střední hodnota μ</t>
  </si>
  <si>
    <t>Směrodatná odchylka σ</t>
  </si>
  <si>
    <t>c) P(X ≥ 6)</t>
  </si>
  <si>
    <t>d) Nejmenší k s P(X ≥ k) ≤ 0,05</t>
  </si>
  <si>
    <t>Kombinační číslo: kolika způsoby lze z n pokusů vybrat k úspěšných; v Excelu KOMBINACE(n; k).</t>
  </si>
  <si>
    <t>n = počet pokusů; k = počet úspěchů; π = pravděpodobnost úspěchu v jednom pokusu; X = počet úspěchů (náhodná proměnná).</t>
  </si>
  <si>
    <t>μ = střední hodnota, σ = směrodatná odchylka binomického rozdělení.</t>
  </si>
  <si>
    <t>Hodnoty se vylučují, proto pravděpodobnosti sčítáme; totéž je 1 − P(X ≤ k − 1).</t>
  </si>
  <si>
    <t>k</t>
  </si>
  <si>
    <t>Počet způsobů (n nad k)</t>
  </si>
  <si>
    <t>Pravděpodobnost jednoho způsobu</t>
  </si>
  <si>
    <t>P(X = k)</t>
  </si>
  <si>
    <t>P(X ≥ k)</t>
  </si>
  <si>
    <t>1. π = 1 / počet možností</t>
  </si>
  <si>
    <t>= 1/D5</t>
  </si>
  <si>
    <t>a) Rozdělení: tabulka v K4:O14 a graf</t>
  </si>
  <si>
    <t>2. P(X = 0) = (1 − π)^n: všichni tipují špatně</t>
  </si>
  <si>
    <t>= (1-R4)^D4</t>
  </si>
  <si>
    <t>3. P(X = 2) = počet způsobů × pravděpodobnost jednoho (řádek k = 2)</t>
  </si>
  <si>
    <t>= L6*M6</t>
  </si>
  <si>
    <t>4. Součet všech P(X = k) (má být 1)</t>
  </si>
  <si>
    <t>= SUMA(N4:N14)</t>
  </si>
  <si>
    <t>b) Střední hodnota a směrodatná odchylka</t>
  </si>
  <si>
    <t>5. μ = n × π</t>
  </si>
  <si>
    <t>= D4*R4</t>
  </si>
  <si>
    <t>6. σ = odmocnina z n × π × (1 − π)</t>
  </si>
  <si>
    <t>= ODMOCNINA(D4*R4*(1-R4))</t>
  </si>
  <si>
    <t>c) a d) Alespoň k správných</t>
  </si>
  <si>
    <t>7. c) P(X ≥ 6) = součet P(X = k) pro k = 6 až 10</t>
  </si>
  <si>
    <t>= SUMIF(K4:K14;"&gt;=6";N4:N14)</t>
  </si>
  <si>
    <t>8. P(X ≥ 5) = součet pro k = 5 až 10</t>
  </si>
  <si>
    <t>= SUMIF(K4:K14;"&gt;=5";N4:N14)</t>
  </si>
  <si>
    <t>9. P(X ≥ 4) = součet pro k = 4 až 10</t>
  </si>
  <si>
    <t>= SUMIF(K4:K14;"&gt;=4";N4:N14)</t>
  </si>
  <si>
    <t>10. d) Nejmenší k s P(X ≥ k) ≤ 0,05 = počet hodnot k, pro něž P(X ≥ k) &gt; 0,05</t>
  </si>
  <si>
    <t>= COUNTIF(O4:O14;"&gt;0,05")</t>
  </si>
  <si>
    <t>Kontrola funkcí Excelu</t>
  </si>
  <si>
    <t>Kontrola: BINOM.DIST (BINOM.DIST), k = 0, NEPRAVDA</t>
  </si>
  <si>
    <t>= BINOM.DIST(0;D4;R4;NEPRAVDA)</t>
  </si>
  <si>
    <t>Kontrola: BINOM.DIST (BINOM.DIST), k = 2, NEPRAVDA</t>
  </si>
  <si>
    <t>= BINOM.DIST(2;D4;R4;NEPRAVDA)</t>
  </si>
  <si>
    <t>Kontrola: 1 − BINOM.DIST(5; n; π; PRAVDA)</t>
  </si>
  <si>
    <t>= 1-BINOM.DIST(5;D4;R4;PRAVDA)</t>
  </si>
  <si>
    <t>Kontrola: BINOM.DIST.RANGE (BINOM.DIST.RANGE) od 6 do n</t>
  </si>
  <si>
    <t>= BINOM.DIST.RANGE(D4;R4;6;D4)</t>
  </si>
  <si>
    <t>Kontrola: BINOM.INV (BINOM.INV) pro 0,95, plus 1</t>
  </si>
  <si>
    <t>= BINOM.INV(D4;R4;0,95)+1</t>
  </si>
  <si>
    <t>a) Každý účastník tipuje správně s pravděpodobností π = 1/5 = 0,2. Pro každé k tabulka v K4:O14 násobí počet způsobů (KOMBINACE(10; k)) pravděpodobností jednoho způsobu 0,2^k × 0,8^(10 − k). Rozdělení je zešikmené doprava: nejpravděpodobnější jsou 2 správné tipy (0,302), následuje 1 (0,268) a 3 (0,201); 6 a více správných je velmi vzácných. Součet všech pravděpodobností je 1. b) μ = 10 × 0,2 = 2 správné tipy; σ = odmocnina z 10 × 0,2 × 0,8 = 1,6, tedy 1,265. c) P(X ≥ 6) = 0,0064, tedy asi 6 případů z tisíce. Kdyby účastníci ve druhém pokusu stále jen tipovali, byl by takový výsledek velmi neobvyklý; je to důvod pochybovat, že všichni jen tipují (například se z prvního pokusu něco naučili). Výpočet ale nedokazuje, že se učili, a neříká, s jakou pravděpodobností tipovali; to by byla obrácená podmínka. d) P(X ≥ 4) = 0,121, P(X ≥ 5) = 0,033: alespoň 5 správných nastává při tipování nejvýše v 5 % případů, 4 správné ještě ne. Hranice 5 % je zde zvolená konvence; jak z takové hranice udělat rozhodovací pravidlo, je tématem testování hypotéz.</t>
  </si>
  <si>
    <t>Úkol 4: Jedenáct správných z dvaceti</t>
  </si>
  <si>
    <t>Test pravda–nepravda s 20 otázkami; model čistého tipování π = 0,5.</t>
  </si>
  <si>
    <t>Počet otázek n</t>
  </si>
  <si>
    <t>Pravděpodobnost správného tipu π</t>
  </si>
  <si>
    <t>Počet správných odpovědí</t>
  </si>
  <si>
    <t>Studenti posledního ročníku vyplnili test znalostí o aktuálním dění s 20 otázkami typu pravda–nepravda. Student, který při výuce působí nesoustředěně, odpověděl správně na 11 otázek.</t>
  </si>
  <si>
    <t>Úkol 4. a) Kolik správných odpovědí bychom čekali při čistém tipování a jak velké kolísání? b) Spočítejte P(X = 11) a P(X ≥ 11) při tipování. c) Máme důvod předpokládat, že student dělal něco jiného než tipoval? Co výpočet říká a co ne?</t>
  </si>
  <si>
    <t>Zdroj: Howell (2013), s. 134, úloha 5.31. Česká adaptace.</t>
  </si>
  <si>
    <t>P(X = 11)</t>
  </si>
  <si>
    <t>P(X ≥ 11)</t>
  </si>
  <si>
    <t>Při π = 0,5 je σ největší možná pro dané n.</t>
  </si>
  <si>
    <t>Opačným jevem k „alespoň k“ je „nejvýše k − 1“, nikoli „nejvýše k“.</t>
  </si>
  <si>
    <t>a) Střední hodnota a kolísání při tipování</t>
  </si>
  <si>
    <t>1. μ = n × π</t>
  </si>
  <si>
    <t>2. σ = odmocnina z n × π × (1 − π)</t>
  </si>
  <si>
    <t>= ODMOCNINA(D4*D5*(1-D5))</t>
  </si>
  <si>
    <t>3. Vzdálenost výsledku od μ v jednotkách σ = (11 − μ) / σ</t>
  </si>
  <si>
    <t>= (D6-R5)/R6</t>
  </si>
  <si>
    <t>b) Pravděpodobnosti z tabulky v K4:N24</t>
  </si>
  <si>
    <t>4. Počet způsobů, jak mít 11 správných = KOMBINACE(n; 11)</t>
  </si>
  <si>
    <t>= KOMBINACE(D4;D6)</t>
  </si>
  <si>
    <t>5. Pravděpodobnost jednoho způsobu = π^11 × (1 − π)^9</t>
  </si>
  <si>
    <t>= D5^D6*(1-D5)^(D4-D6)</t>
  </si>
  <si>
    <t>6. P(X = 11) = počet způsobů × pravděpodobnost jednoho</t>
  </si>
  <si>
    <t>= R9*R10</t>
  </si>
  <si>
    <t>7. P(X ≥ 11) = součet P(X = k) pro k = 11 až 20</t>
  </si>
  <si>
    <t>= SUMIF(K4:K24;"&gt;="&amp;D6;N4:N24)</t>
  </si>
  <si>
    <t>8. Součet všech P(X = k) (má být 1)</t>
  </si>
  <si>
    <t>= SUMA(N4:N24)</t>
  </si>
  <si>
    <t>Kontrola: BINOM.DIST (BINOM.DIST), NEPRAVDA</t>
  </si>
  <si>
    <t>= BINOM.DIST(D6;D4;D5;NEPRAVDA)</t>
  </si>
  <si>
    <t>Kontrola: tabulka: SUMIF pro k = 11</t>
  </si>
  <si>
    <t>= SUMIF(K4:K24;D6;N4:N24)</t>
  </si>
  <si>
    <t>Kontrola: 1 − BINOM.DIST(10; n; π; PRAVDA)</t>
  </si>
  <si>
    <t>= 1-BINOM.DIST(D6-1;D4;D5;PRAVDA)</t>
  </si>
  <si>
    <t>Kontrola: BINOM.DIST.RANGE (BINOM.DIST.RANGE) od 11 do n</t>
  </si>
  <si>
    <t>= BINOM.DIST.RANGE(D4;D5;D6;D4)</t>
  </si>
  <si>
    <t>a) Při tipování čekáme μ = 20 × 0,5 = 10 správných odpovědí se směrodatnou odchylkou σ = odmocnina z 5 ≈ 2,236. Výsledek 11 leží jen 0,45 směrodatné odchylky nad střední hodnotou. b) Jedenáct správných lze rozmístit KOMBINACE(20; 11) = 167 960 způsoby; každý má pravděpodobnost 0,5^20 ≈ 0,00000095, takže P(X = 11) ≈ 0,160. Alespoň 11 správných: P(X ≥ 11) ≈ 0,412, tedy přibližně ve dvou případech z pěti. c) Výsledek 11 z 20 je u tipujícího studenta zcela běžný, takže nedává důvod předpokládat něco jiného než tipování. To ale neznamená, že student tipoval: stejný výsledek je slučitelný i s tím, že část odpovědí znal a část tipoval. Výpočet popisuje P(výsledek | tipování), ne P(tipování | výsledek). Pro posouzení výkonu se hodí P(X ≥ 11), ne P(X = 11): pravděpodobnost jediné hodnoty je při 20 otázkách malá u všech hodnot, i nejpravděpodobnější hodnota 10 má jen 0,176.</t>
  </si>
  <si>
    <t>Úkol 5: Normální aproximace a podíl</t>
  </si>
  <si>
    <t>Zkouška v autoškole: 30 uchazečů, očekávaná úspěšnost 60 %, úspěšných 22.</t>
  </si>
  <si>
    <t>Počet uchazečů n</t>
  </si>
  <si>
    <t>Pravděpodobnost úspěchu π</t>
  </si>
  <si>
    <t>Počet úspěšných</t>
  </si>
  <si>
    <t>Podle dlouhodobých zkušeností má řidičskou zkoušku složit 60 % uchazečů. V jedné skupině 30 uchazečů ji složilo 22. Předpokládejte, že výsledky uchazečů jsou nezávislé.</t>
  </si>
  <si>
    <t>Úkol 5. a) Ověřte podmínku normální aproximace. b) Pomocí normální aproximace určete pravděpodobnost, že by zkoušku složilo 22 a více uchazečů, kdyby pravděpodobnost úspěchu byla 0,6; výpočet zopakujte od hranice 21,5. c) Porovnejte s přesnou binomickou hodnotou. d) Převeďte výsledek na podíl a ověřte, že z-skór podílu je stejný. e) Co výsledek naznačuje a co z něj nelze vyvodit?</t>
  </si>
  <si>
    <t>Zdroj: Howell (2013), s. 134, úloha 5.33. Česká adaptace bez rozhodování o hypotéze.</t>
  </si>
  <si>
    <t>Očekávané úspěchy a neúspěchy</t>
  </si>
  <si>
    <t>σ</t>
  </si>
  <si>
    <t>z-skór hranice 22</t>
  </si>
  <si>
    <t>b) Aproximace P(X ≥ 22)</t>
  </si>
  <si>
    <t>c) Přesná P(X ≥ 22)</t>
  </si>
  <si>
    <t>d) Podíl p</t>
  </si>
  <si>
    <t>Orientační podmínka normální aproximace: dost očekávaných úspěchů i neúspěchů.</t>
  </si>
  <si>
    <t>Normální model má stejnou střední hodnotu a směrodatnou odchylku jako binomické rozdělení.</t>
  </si>
  <si>
    <t>Plocha nad hranicí = 1 − NORM.S.DIST(z; PRAVDA). Hranice 21,5 místo 22 zahrne celý sloupec pro 22.</t>
  </si>
  <si>
    <t>p = relativní četnost úspěchů; střední hodnota podílu je π.</t>
  </si>
  <si>
    <t>a) Podmínka: n × π ≥ 10 a n × (1 − π) ≥ 10</t>
  </si>
  <si>
    <t>1. Očekávané úspěchy n × π</t>
  </si>
  <si>
    <t>2. Očekávané neúspěchy n × (1 − π)</t>
  </si>
  <si>
    <t>= D4*(1-D5)</t>
  </si>
  <si>
    <t>3. Podmínka splněna? (1 = ano, 0 = ne)</t>
  </si>
  <si>
    <t>= KDYŽ(A(R5&gt;=10;R6&gt;=10);1;0)</t>
  </si>
  <si>
    <t>b) Normální model se stejnými μ a σ</t>
  </si>
  <si>
    <t>4. μ = n × π</t>
  </si>
  <si>
    <t>= R5</t>
  </si>
  <si>
    <t>5. σ = odmocnina z n × π × (1 − π)</t>
  </si>
  <si>
    <t>6. z = (22 − μ) / σ</t>
  </si>
  <si>
    <t>= (D6-R9)/R10</t>
  </si>
  <si>
    <t>7. Aproximace P(X ≥ 22) = 1 − NORM.S.DIST(z; PRAVDA)</t>
  </si>
  <si>
    <t>= 1-NORM.S.DIST(R11;PRAVDA)</t>
  </si>
  <si>
    <t>8. z od hranice 21,5 = (22 − 0,5 − μ) / σ</t>
  </si>
  <si>
    <t>= (D6-0,5-R9)/R10</t>
  </si>
  <si>
    <t>9. Aproximace od 21,5 = 1 − NORM.S.DIST(z; PRAVDA)</t>
  </si>
  <si>
    <t>= 1-NORM.S.DIST(R13;PRAVDA)</t>
  </si>
  <si>
    <t>c) Přesná binomická hodnota (tabulka K4:N34)</t>
  </si>
  <si>
    <t>10. P(X ≥ 22) = součet P(X = k) pro k = 22 až 30</t>
  </si>
  <si>
    <t>= SUMIF(K4:K34;"&gt;="&amp;D6;N4:N34)</t>
  </si>
  <si>
    <t>d) Podíl</t>
  </si>
  <si>
    <t>11. p = počet úspěšných / n</t>
  </si>
  <si>
    <t>= D6/D4</t>
  </si>
  <si>
    <t>12. Směrodatná odchylka podílu = odmocnina z π × (1 − π) / n</t>
  </si>
  <si>
    <t>= ODMOCNINA(D5*(1-D5)/D4)</t>
  </si>
  <si>
    <t>13. z podílu = (p − π) / směrodatná odchylka podílu</t>
  </si>
  <si>
    <t>= (R18-D5)/R19</t>
  </si>
  <si>
    <t>Kontrola: 1 − BINOM.DIST(21; n; π; PRAVDA)</t>
  </si>
  <si>
    <t>Kontrola: NORM.DIST (NORM.DIST) s μ a σ</t>
  </si>
  <si>
    <t>= 1-NORM.DIST(D6;R9;R10;PRAVDA)</t>
  </si>
  <si>
    <t>Kontrola: z podílu je stejné jako z počtu</t>
  </si>
  <si>
    <t>= R20</t>
  </si>
  <si>
    <t>a) Očekáváme 30 × 0,6 = 18 úspěchů a 30 × 0,4 = 12 neúspěchů; obě hodnoty jsou alespoň 10, podmínka je splněna, i když jen těsně u neúspěchů. b) Normální model má μ = 18 a σ = odmocnina ze 7,2 ≈ 2,683. Hranice 22 leží z = (22 − 18) / 2,683 ≈ 1,49 směrodatné odchylky nad střední hodnotou; plocha nad ní je 1 − NORM.S.DIST(1,49; PRAVDA) ≈ 0,068. Od hranice 21,5 (sloupec pro 22 začíná na 21,5) je z ≈ 1,30 a plocha ≈ 0,096. c) Přesná binomická hodnota je 0,094: aproximace od 22 ji podceňuje asi o čtvrtinu, aproximace od 21,5 je velmi blízko. Při malém počtu pokusů na půlce sloupce záleží. d) Podíl úspěšných je p = 22 / 30 ≈ 0,733, směrodatná odchylka podílu odmocnina z 0,6 × 0,4 / 30 ≈ 0,089 a z = (0,733 − 0,6) / 0,089 ≈ 1,49, stejně jako u počtu: změna jednotky polohu výsledku nemění. e) Kdyby měl každý uchazeč pravděpodobnost úspěchu 0,6, složilo by 22 a více z 30 asi v 9 % takových skupin. Výsledek je tedy nad očekáváním, ale ne nijak výjimečný; sám nedokazuje, že tato skupina byla lépe připravená. Neříká ani, s jakou pravděpodobností platí π = 0,6; to by byla obrácená podmínka. Závěr navíc stojí na předpokladu nezávislosti uchazečů (například stejný instruktor by ji mohl porušit).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</si>
</sst>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0"/>
    <numFmt numFmtId="168" formatCode="0.0"/>
  </numFmts>
  <fonts count="6" x14ac:knownFonts="1">
    <font>
      <sz val="11"/>
      <color theme="1"/>
      <name val="Aptos Narrow"/>
      <family val="2"/>
      <charset val="238"/>
      <scheme val="minor"/>
    </font>
    <font>
      <b/>
      <sz val="14"/>
      <color rgb="FF142A3B"/>
      <name val="Aptos Narrow"/>
      <family val="2"/>
      <scheme val="minor"/>
    </font>
    <font>
      <sz val="11"/>
      <color rgb="FF576574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  <font>
      <b/>
      <sz val="11"/>
      <color rgb="FF176A8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A3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76A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7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164" fontId="0" fillId="3" borderId="0" xfId="0" applyNumberFormat="1" applyFill="1"/>
    <xf numFmtId="0" fontId="4" fillId="0" borderId="0" xfId="0" applyFont="1"/>
    <xf numFmtId="0" fontId="0" fillId="4" borderId="0" xfId="0" applyFill="1" applyAlignment="1">
      <alignment vertical="top"/>
    </xf>
    <xf numFmtId="165" fontId="0" fillId="4" borderId="0" xfId="0" applyNumberFormat="1" applyFill="1" applyAlignment="1">
      <alignment vertical="top"/>
    </xf>
    <xf numFmtId="165" fontId="0" fillId="0" borderId="0" xfId="0" applyNumberFormat="1"/>
    <xf numFmtId="165" fontId="0" fillId="6" borderId="0" xfId="0" applyNumberFormat="1" applyFill="1" applyAlignment="1">
      <alignment vertical="top"/>
    </xf>
    <xf numFmtId="0" fontId="0" fillId="6" borderId="0" xfId="0" applyFill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3" fontId="0" fillId="3" borderId="0" xfId="0" applyNumberFormat="1" applyFill="1"/>
    <xf numFmtId="3" fontId="0" fillId="4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166" fontId="0" fillId="4" borderId="0" xfId="0" applyNumberFormat="1" applyFill="1" applyAlignment="1">
      <alignment vertical="top"/>
    </xf>
    <xf numFmtId="166" fontId="0" fillId="6" borderId="0" xfId="0" applyNumberFormat="1" applyFill="1" applyAlignment="1">
      <alignment vertical="top"/>
    </xf>
    <xf numFmtId="2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1" fontId="0" fillId="5" borderId="0" xfId="0" applyNumberFormat="1" applyFill="1"/>
    <xf numFmtId="165" fontId="0" fillId="5" borderId="0" xfId="0" applyNumberFormat="1" applyFill="1"/>
    <xf numFmtId="2" fontId="0" fillId="4" borderId="0" xfId="0" applyNumberFormat="1" applyFill="1" applyAlignment="1">
      <alignment vertical="top"/>
    </xf>
    <xf numFmtId="1" fontId="0" fillId="4" borderId="0" xfId="0" applyNumberFormat="1" applyFill="1" applyAlignment="1">
      <alignment vertical="top"/>
    </xf>
    <xf numFmtId="1" fontId="0" fillId="6" borderId="0" xfId="0" applyNumberFormat="1" applyFill="1" applyAlignment="1">
      <alignment vertical="top"/>
    </xf>
    <xf numFmtId="2" fontId="0" fillId="0" borderId="0" xfId="0" applyNumberFormat="1"/>
    <xf numFmtId="167" fontId="0" fillId="4" borderId="0" xfId="0" applyNumberFormat="1" applyFill="1" applyAlignment="1">
      <alignment vertical="top"/>
    </xf>
    <xf numFmtId="168" fontId="0" fillId="3" borderId="0" xfId="0" applyNumberFormat="1" applyFill="1"/>
    <xf numFmtId="168" fontId="0" fillId="4" borderId="0" xfId="0" applyNumberFormat="1" applyFill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7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cs-CZ"/>
              <a:t>Rozdělení počtu správných tipů (n = 10, </a:t>
            </a:r>
            <a:r>
              <a:rPr lang="el-GR"/>
              <a:t>π = 0,2)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P(X = k)</c:v>
          </c:tx>
          <c:spPr>
            <a:solidFill>
              <a:srgbClr val="176A83"/>
            </a:solidFill>
          </c:spPr>
          <c:invertIfNegative val="0"/>
          <c:cat>
            <c:numRef>
              <c:f>U3_tipovani!$K$4:$K$14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U3_tipovani!$N$4:$N$14</c:f>
              <c:numCache>
                <c:formatCode>0.0000</c:formatCode>
                <c:ptCount val="11"/>
                <c:pt idx="0">
                  <c:v>0.10737418240000011</c:v>
                </c:pt>
                <c:pt idx="1">
                  <c:v>0.26843545600000024</c:v>
                </c:pt>
                <c:pt idx="2">
                  <c:v>0.30198988800000032</c:v>
                </c:pt>
                <c:pt idx="3">
                  <c:v>0.20132659200000019</c:v>
                </c:pt>
                <c:pt idx="4">
                  <c:v>8.8080384000000081E-2</c:v>
                </c:pt>
                <c:pt idx="5">
                  <c:v>2.6424115200000032E-2</c:v>
                </c:pt>
                <c:pt idx="6">
                  <c:v>5.5050240000000051E-3</c:v>
                </c:pt>
                <c:pt idx="7">
                  <c:v>7.8643200000000075E-4</c:v>
                </c:pt>
                <c:pt idx="8">
                  <c:v>7.3728000000000077E-5</c:v>
                </c:pt>
                <c:pt idx="9">
                  <c:v>4.0960000000000036E-6</c:v>
                </c:pt>
                <c:pt idx="10">
                  <c:v>1.0240000000000011E-7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5-4D1D-B955-E90385CA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285807"/>
        <c:axId val="1125274287"/>
      </c:barChart>
      <c:catAx>
        <c:axId val="1125285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Počet správných tipů k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crossAx val="1125274287"/>
        <c:crosses val="autoZero"/>
        <c:auto val="1"/>
        <c:lblAlgn val="ctr"/>
        <c:lblOffset val="100"/>
        <c:noMultiLvlLbl val="0"/>
      </c:catAx>
      <c:valAx>
        <c:axId val="1125274287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P(X = k)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low"/>
        <c:crossAx val="112528580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Arial"/>
          <a:ea typeface="Arial"/>
          <a:cs typeface="Arial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32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P(A | B) = P(A ∩ B) / P(B)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|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∩ 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P(A | B) = P(A ∩ B) / P(B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P(A | B) = P(A ∩ B) / P(B)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39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P(A ∪ B) = P(A) + P(B) − P(A ∩ B)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∪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∩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P(A ∪ B) = P(A) + P(B) − P(A ∩ B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P(A ∪ B) = P(A) + P(B) − P(A ∩ B)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44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P(A ∩ B) = P(A) × P(B)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∩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P(A ∩ B) = P(A) × P(B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P(A ∩ B) = P(A) × P(B)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32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P(B) = P(A) × P(B | A) + P(A′) × P(B | A′)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|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      +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|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P(B) = P(A) × P(B | A) + P(A′) × P(B | A′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P(B) = P(A) × P(B | A) + P(A′) × P(B | A′)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39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P(A | B) = P(A) × P(B | A) / P(B)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|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| 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P(A | B) = P(A) × P(B | A) / P(B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P(A | B) = P(A) × P(B | A) / P(B)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45</xdr:row>
      <xdr:rowOff>25000</xdr:rowOff>
    </xdr:from>
    <xdr:ext cx="3560000" cy="86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prediktivní hodnota pozitivního testu = správně pozitivní / pozitivní celkem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0" y="0"/>
              <a:ext cx="3560000" cy="8644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prediktivní hodnota pozitivního testu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správně pozitivní</m:t>
                        </m:r>
                      </m:num>
                      <m:den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pozitivní celkem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prediktivní hodnota pozitivního testu = správně pozitivní / pozitivní celkem"/>
            <xdr:cNvSpPr txBox="1"/>
          </xdr:nvSpPr>
          <xdr:spPr>
            <a:xfrm>
              <a:off x="0" y="0"/>
              <a:ext cx="3560000" cy="8644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prediktivní hodnota pozitivního testu = správně pozitivní / pozitivní celkem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0</xdr:rowOff>
    </xdr:from>
    <xdr:to>
      <xdr:col>15</xdr:col>
      <xdr:colOff>0</xdr:colOff>
      <xdr:row>46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A016B180-4002-487C-74B4-88885C778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20000</xdr:colOff>
      <xdr:row>32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(n nad k) = n! / [k! × (n − k)!]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type m:val="noBar"/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den>
                        </m:f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!</m:t>
                        </m:r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! × (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)!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(n nad k) = n! / [k! × (n − k)!]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(n nad k) = n! / [k! × (n − k)!]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38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P(X = k) = (n nad k) × π^k × (1 − π)^(n − k)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=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type m:val="noBar"/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den>
                        </m:f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sSup>
                      <m:sSup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</m:e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sup>
                    </m:sSup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sSup>
                      <m:sSup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1 − </m:t>
                            </m:r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d>
                      </m:e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sup>
                    </m:sSup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P(X = k) = (n nad k) × π^k × (1 − π)^(n − k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P(X = k) = (n nad k) × π^k × (1 − π)^(n − k)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45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ovnice 4" descr="μ = n × π; σ = odmocnina z n × π × (1 − π)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μ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π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σ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1 − </m:t>
                            </m:r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Rovnice 4" descr="μ = n × π; σ = odmocnina z n × π × (1 − π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μ = n × π; σ = odmocnina z n × π × (1 − π)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51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Rovnice 5" descr="P(X ≥ k) = P(X = k) + … + P(X = n)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≥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=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… +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=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Rovnice 5" descr="P(X ≥ k) = P(X = k) + … + P(X = n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P(X ≥ k) = P(X = k) + … + P(X = n)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32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P(X = k) = (n nad k) × π^k × (1 − π)^(n − k)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=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type m:val="noBar"/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den>
                        </m:f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sSup>
                      <m:sSup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</m:e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sup>
                    </m:sSup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sSup>
                      <m:sSup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1 − </m:t>
                            </m:r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d>
                      </m:e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sup>
                    </m:sSup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P(X = k) = (n nad k) × π^k × (1 − π)^(n − k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P(X = k) = (n nad k) × π^k × (1 − π)^(n − k)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39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μ = n × π; σ = odmocnina z n × π × (1 − π)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μ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π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σ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1 − </m:t>
                            </m:r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μ = n × π; σ = odmocnina z n × π × (1 − π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μ = n × π; σ = odmocnina z n × π × (1 − π)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44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P(X ≥ k) = 1 − P(X ≤ k − 1)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≥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1 −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≤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− 1</m:t>
                        </m:r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P(X ≥ k) = 1 − P(X ≤ k − 1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P(X ≥ k) = 1 − P(X ≤ k − 1)</a:t>
              </a: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32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n × π ≥ 10 a zároveň n × (1 − π) ≥ 10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π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≥ 10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a zároveň 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1 − </m:t>
                        </m:r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≥ 10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n × π ≥ 10 a zároveň n × (1 − π) ≥ 10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n × π ≥ 10 a zároveň n × (1 − π) ≥ 10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37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μ = n × π; σ = odmocnina z n × π × (1 − π)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μ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π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σ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π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</m:t>
                        </m:r>
                        <m:d>
                          <m:d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1 − </m:t>
                            </m:r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μ = n × π; σ = odmocnina z n × π × (1 − π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μ = n × π; σ = odmocnina z n × π × (1 − π)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43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z = (hranice − μ) / σ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𝑧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hranice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μ</m:t>
                        </m:r>
                      </m:num>
                      <m:den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z = (hranice − μ) / σ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z = (hranice − μ) / σ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49</xdr:row>
      <xdr:rowOff>25000</xdr:rowOff>
    </xdr:from>
    <xdr:ext cx="3560000" cy="1093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ovnice 4" descr="p = k / n; směrodatná odchylka podílu = odmocnina z π × (1 − π) / n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 txBox="1"/>
          </xdr:nvSpPr>
          <xdr:spPr>
            <a:xfrm>
              <a:off x="0" y="0"/>
              <a:ext cx="3560000" cy="10930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směrodatná odchylka podílu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nor/>
                              </m:rPr>
                              <a:rPr lang="cs-CZ" sz="1300" i="0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π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× </m:t>
                            </m:r>
                            <m:d>
                              <m:dPr>
                                <m:ctrlP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1 − </m:t>
                                </m:r>
                                <m:r>
                                  <m:rPr>
                                    <m:nor/>
                                  </m:rPr>
                                  <a:rPr lang="cs-CZ" sz="1300" i="0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π</m:t>
                                </m:r>
                              </m:e>
                            </m:d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Rovnice 4" descr="p = k / n; směrodatná odchylka podílu = odmocnina z π × (1 − π) / n"/>
            <xdr:cNvSpPr txBox="1"/>
          </xdr:nvSpPr>
          <xdr:spPr>
            <a:xfrm>
              <a:off x="0" y="0"/>
              <a:ext cx="3560000" cy="10930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 = k / n; směrodatná odchylka podílu = odmocnina z π × (1 − π) / n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0A18-49AB-4EA1-8BF6-082E997A1312}">
  <dimension ref="A1:C23"/>
  <sheetViews>
    <sheetView showGridLines="0" tabSelected="1" workbookViewId="0"/>
  </sheetViews>
  <sheetFormatPr defaultRowHeight="14.3" x14ac:dyDescent="0.25"/>
  <cols>
    <col min="1" max="1" width="22.625" customWidth="1"/>
    <col min="2" max="2" width="44.625" customWidth="1"/>
    <col min="3" max="3" width="70.625" customWidth="1"/>
  </cols>
  <sheetData>
    <row r="1" spans="1:3" ht="19.05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ht="34" customHeight="1" x14ac:dyDescent="0.25">
      <c r="A5" s="5" t="s">
        <v>5</v>
      </c>
      <c r="B5" s="5" t="s">
        <v>6</v>
      </c>
      <c r="C5" s="5" t="s">
        <v>7</v>
      </c>
    </row>
    <row r="6" spans="1:3" ht="49.95" customHeight="1" x14ac:dyDescent="0.25">
      <c r="A6" s="5" t="s">
        <v>8</v>
      </c>
      <c r="B6" s="5" t="s">
        <v>9</v>
      </c>
      <c r="C6" s="5" t="s">
        <v>10</v>
      </c>
    </row>
    <row r="7" spans="1:3" ht="34" customHeight="1" x14ac:dyDescent="0.25">
      <c r="A7" s="5" t="s">
        <v>11</v>
      </c>
      <c r="B7" s="5" t="s">
        <v>12</v>
      </c>
      <c r="C7" s="5" t="s">
        <v>13</v>
      </c>
    </row>
    <row r="8" spans="1:3" ht="34" customHeight="1" x14ac:dyDescent="0.25">
      <c r="A8" s="5" t="s">
        <v>14</v>
      </c>
      <c r="B8" s="5" t="s">
        <v>15</v>
      </c>
      <c r="C8" s="5" t="s">
        <v>16</v>
      </c>
    </row>
    <row r="9" spans="1:3" ht="34" customHeight="1" x14ac:dyDescent="0.25">
      <c r="A9" s="5" t="s">
        <v>17</v>
      </c>
      <c r="B9" s="5" t="s">
        <v>18</v>
      </c>
      <c r="C9" s="5" t="s">
        <v>19</v>
      </c>
    </row>
    <row r="11" spans="1:3" x14ac:dyDescent="0.25">
      <c r="A11" s="6" t="s">
        <v>20</v>
      </c>
    </row>
    <row r="12" spans="1:3" ht="34" customHeight="1" x14ac:dyDescent="0.25">
      <c r="A12" s="5" t="s">
        <v>21</v>
      </c>
      <c r="B12" s="40" t="s">
        <v>27</v>
      </c>
      <c r="C12" s="40"/>
    </row>
    <row r="13" spans="1:3" x14ac:dyDescent="0.25">
      <c r="A13" s="7" t="s">
        <v>22</v>
      </c>
      <c r="B13" s="40" t="s">
        <v>28</v>
      </c>
      <c r="C13" s="40"/>
    </row>
    <row r="14" spans="1:3" ht="48.1" customHeight="1" x14ac:dyDescent="0.25">
      <c r="A14" s="8" t="s">
        <v>23</v>
      </c>
      <c r="B14" s="40" t="s">
        <v>29</v>
      </c>
      <c r="C14" s="40"/>
    </row>
    <row r="15" spans="1:3" ht="34" customHeight="1" x14ac:dyDescent="0.25">
      <c r="A15" s="9" t="s">
        <v>24</v>
      </c>
      <c r="B15" s="40" t="s">
        <v>30</v>
      </c>
      <c r="C15" s="40"/>
    </row>
    <row r="16" spans="1:3" ht="34" customHeight="1" x14ac:dyDescent="0.25">
      <c r="A16" s="10" t="s">
        <v>25</v>
      </c>
      <c r="B16" s="40" t="s">
        <v>31</v>
      </c>
      <c r="C16" s="40"/>
    </row>
    <row r="17" spans="1:3" ht="48.1" customHeight="1" x14ac:dyDescent="0.25">
      <c r="A17" s="5" t="s">
        <v>26</v>
      </c>
      <c r="B17" s="40" t="s">
        <v>32</v>
      </c>
      <c r="C17" s="40"/>
    </row>
    <row r="19" spans="1:3" x14ac:dyDescent="0.25">
      <c r="A19" s="6" t="s">
        <v>33</v>
      </c>
    </row>
    <row r="20" spans="1:3" ht="34" customHeight="1" x14ac:dyDescent="0.25">
      <c r="A20" s="40" t="s">
        <v>34</v>
      </c>
      <c r="B20" s="40"/>
      <c r="C20" s="40"/>
    </row>
    <row r="21" spans="1:3" ht="48.1" customHeight="1" x14ac:dyDescent="0.25">
      <c r="A21" s="40" t="s">
        <v>35</v>
      </c>
      <c r="B21" s="40"/>
      <c r="C21" s="40"/>
    </row>
    <row r="22" spans="1:3" ht="34" customHeight="1" x14ac:dyDescent="0.25">
      <c r="A22" s="40" t="s">
        <v>36</v>
      </c>
      <c r="B22" s="40"/>
      <c r="C22" s="40"/>
    </row>
    <row r="23" spans="1:3" ht="34" customHeight="1" x14ac:dyDescent="0.25">
      <c r="A23" s="40" t="s">
        <v>37</v>
      </c>
      <c r="B23" s="40"/>
      <c r="C23" s="40"/>
    </row>
  </sheetData>
  <mergeCells count="10">
    <mergeCell ref="A20:C20"/>
    <mergeCell ref="A21:C21"/>
    <mergeCell ref="A22:C22"/>
    <mergeCell ref="A23:C23"/>
    <mergeCell ref="B12:C12"/>
    <mergeCell ref="B13:C13"/>
    <mergeCell ref="B14:C14"/>
    <mergeCell ref="B15:C15"/>
    <mergeCell ref="B16:C16"/>
    <mergeCell ref="B17:C1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1F73-E467-4411-BC6F-CD0FDAFA9F53}">
  <dimension ref="A1:T80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30.625" customWidth="1"/>
    <col min="4" max="5" width="12.625" customWidth="1"/>
    <col min="6" max="6" width="2.625" customWidth="1"/>
    <col min="7" max="7" width="40.625" customWidth="1"/>
    <col min="8" max="9" width="13.625" customWidth="1"/>
    <col min="10" max="10" width="2.625" customWidth="1"/>
    <col min="11" max="11" width="9.625" customWidth="1"/>
    <col min="12" max="12" width="13.625" customWidth="1"/>
    <col min="13" max="13" width="15.625" customWidth="1"/>
    <col min="14" max="15" width="13.625" customWidth="1"/>
    <col min="16" max="16" width="2.625" customWidth="1"/>
    <col min="17" max="17" width="60.625" customWidth="1"/>
    <col min="18" max="18" width="13.625" customWidth="1"/>
    <col min="19" max="19" width="50.625" customWidth="1"/>
    <col min="20" max="20" width="13.625" customWidth="1"/>
  </cols>
  <sheetData>
    <row r="1" spans="1:20" ht="19.05" x14ac:dyDescent="0.25">
      <c r="A1" s="1" t="s">
        <v>38</v>
      </c>
    </row>
    <row r="2" spans="1:20" x14ac:dyDescent="0.25">
      <c r="A2" s="2" t="s">
        <v>39</v>
      </c>
    </row>
    <row r="3" spans="1:20" ht="31.95" customHeight="1" x14ac:dyDescent="0.25">
      <c r="A3" s="3" t="s">
        <v>40</v>
      </c>
      <c r="C3" s="3" t="s">
        <v>41</v>
      </c>
      <c r="D3" s="3" t="s">
        <v>42</v>
      </c>
      <c r="E3" s="3" t="s">
        <v>43</v>
      </c>
      <c r="G3" s="3" t="s">
        <v>44</v>
      </c>
      <c r="H3" s="3" t="s">
        <v>45</v>
      </c>
      <c r="Q3" s="11" t="s">
        <v>46</v>
      </c>
      <c r="R3" s="11" t="s">
        <v>45</v>
      </c>
      <c r="S3" s="11" t="s">
        <v>47</v>
      </c>
      <c r="T3" s="11" t="s">
        <v>48</v>
      </c>
    </row>
    <row r="4" spans="1:20" ht="18" customHeight="1" x14ac:dyDescent="0.25">
      <c r="A4" s="40" t="s">
        <v>51</v>
      </c>
      <c r="C4" t="s">
        <v>49</v>
      </c>
      <c r="D4">
        <v>48</v>
      </c>
      <c r="E4">
        <v>16</v>
      </c>
      <c r="G4" s="4" t="s">
        <v>55</v>
      </c>
      <c r="H4" s="13"/>
      <c r="Q4" s="14" t="s">
        <v>66</v>
      </c>
    </row>
    <row r="5" spans="1:20" ht="18" customHeight="1" x14ac:dyDescent="0.25">
      <c r="A5" s="40"/>
      <c r="C5" t="s">
        <v>50</v>
      </c>
      <c r="D5">
        <v>54</v>
      </c>
      <c r="E5">
        <v>42</v>
      </c>
      <c r="G5" s="4" t="s">
        <v>56</v>
      </c>
      <c r="H5" s="13"/>
      <c r="Q5" s="5" t="s">
        <v>67</v>
      </c>
      <c r="R5" s="15">
        <f>$D$4+$E$4</f>
        <v>64</v>
      </c>
      <c r="S5" s="5" t="s">
        <v>68</v>
      </c>
    </row>
    <row r="6" spans="1:20" ht="18" customHeight="1" x14ac:dyDescent="0.25">
      <c r="A6" s="40"/>
      <c r="G6" s="4" t="s">
        <v>57</v>
      </c>
      <c r="H6" s="13"/>
      <c r="Q6" s="5" t="s">
        <v>69</v>
      </c>
      <c r="R6" s="15">
        <f>$D$5+$E$5</f>
        <v>96</v>
      </c>
      <c r="S6" s="5" t="s">
        <v>70</v>
      </c>
    </row>
    <row r="7" spans="1:20" ht="18" customHeight="1" x14ac:dyDescent="0.25">
      <c r="A7" s="40"/>
      <c r="G7" s="4" t="s">
        <v>58</v>
      </c>
      <c r="H7" s="13"/>
      <c r="Q7" s="5" t="s">
        <v>71</v>
      </c>
      <c r="R7" s="15">
        <f>$D$4+$D$5</f>
        <v>102</v>
      </c>
      <c r="S7" s="5" t="s">
        <v>72</v>
      </c>
    </row>
    <row r="8" spans="1:20" ht="18" customHeight="1" x14ac:dyDescent="0.25">
      <c r="A8" s="40"/>
      <c r="G8" s="4" t="s">
        <v>59</v>
      </c>
      <c r="H8" s="13"/>
      <c r="Q8" s="5" t="s">
        <v>73</v>
      </c>
      <c r="R8" s="15">
        <f>$R$5+$R$6</f>
        <v>160</v>
      </c>
      <c r="S8" s="5" t="s">
        <v>74</v>
      </c>
    </row>
    <row r="9" spans="1:20" ht="18" customHeight="1" x14ac:dyDescent="0.25">
      <c r="G9" s="4" t="s">
        <v>60</v>
      </c>
      <c r="H9" s="13"/>
      <c r="Q9" s="14" t="s">
        <v>75</v>
      </c>
    </row>
    <row r="10" spans="1:20" ht="18" customHeight="1" x14ac:dyDescent="0.25">
      <c r="A10" s="40" t="s">
        <v>52</v>
      </c>
      <c r="G10" s="4" t="s">
        <v>61</v>
      </c>
      <c r="H10" s="13"/>
      <c r="Q10" s="5" t="s">
        <v>76</v>
      </c>
      <c r="R10" s="16">
        <f>$R$7/$R$8</f>
        <v>0.63749999999999996</v>
      </c>
      <c r="S10" s="5" t="s">
        <v>77</v>
      </c>
    </row>
    <row r="11" spans="1:20" ht="18" customHeight="1" x14ac:dyDescent="0.25">
      <c r="A11" s="40"/>
      <c r="Q11" s="5" t="s">
        <v>78</v>
      </c>
      <c r="R11" s="16">
        <f>$R$5/$R$8</f>
        <v>0.4</v>
      </c>
      <c r="S11" s="5" t="s">
        <v>79</v>
      </c>
    </row>
    <row r="12" spans="1:20" ht="18" customHeight="1" x14ac:dyDescent="0.25">
      <c r="A12" s="40"/>
      <c r="Q12" s="5" t="s">
        <v>80</v>
      </c>
      <c r="R12" s="16">
        <f>$D$4/$R$8</f>
        <v>0.3</v>
      </c>
      <c r="S12" s="5" t="s">
        <v>81</v>
      </c>
    </row>
    <row r="13" spans="1:20" ht="18" customHeight="1" x14ac:dyDescent="0.25">
      <c r="A13" s="40"/>
      <c r="Q13" s="14" t="s">
        <v>82</v>
      </c>
    </row>
    <row r="14" spans="1:20" ht="18" customHeight="1" x14ac:dyDescent="0.25">
      <c r="A14" s="40"/>
      <c r="Q14" s="5" t="s">
        <v>83</v>
      </c>
      <c r="R14" s="16">
        <f>$D$4/$R$5</f>
        <v>0.75</v>
      </c>
      <c r="S14" s="5" t="s">
        <v>84</v>
      </c>
    </row>
    <row r="15" spans="1:20" ht="18" customHeight="1" x14ac:dyDescent="0.25">
      <c r="A15" s="40"/>
      <c r="Q15" s="5" t="s">
        <v>85</v>
      </c>
      <c r="R15" s="16">
        <f>$D$4/$R$7</f>
        <v>0.47058823529411764</v>
      </c>
      <c r="S15" s="5" t="s">
        <v>86</v>
      </c>
    </row>
    <row r="16" spans="1:20" ht="18" customHeight="1" x14ac:dyDescent="0.25">
      <c r="A16" s="40"/>
      <c r="Q16" s="5" t="s">
        <v>87</v>
      </c>
      <c r="R16" s="16">
        <f>$D$5/$R$6</f>
        <v>0.5625</v>
      </c>
      <c r="S16" s="5" t="s">
        <v>88</v>
      </c>
    </row>
    <row r="17" spans="1:20" ht="18" customHeight="1" x14ac:dyDescent="0.25">
      <c r="A17" s="40"/>
      <c r="Q17" s="14" t="s">
        <v>89</v>
      </c>
    </row>
    <row r="18" spans="1:20" ht="18" customHeight="1" x14ac:dyDescent="0.25">
      <c r="Q18" s="5" t="s">
        <v>90</v>
      </c>
      <c r="R18" s="16">
        <f>($D$4+$E$4+$D$5)/$R$8</f>
        <v>0.73750000000000004</v>
      </c>
      <c r="S18" s="5" t="s">
        <v>91</v>
      </c>
    </row>
    <row r="19" spans="1:20" ht="18" customHeight="1" x14ac:dyDescent="0.25">
      <c r="A19" s="43" t="s">
        <v>53</v>
      </c>
      <c r="Q19" s="5" t="s">
        <v>92</v>
      </c>
      <c r="R19" s="16">
        <f>$R$11*$R$10</f>
        <v>0.255</v>
      </c>
      <c r="S19" s="5" t="s">
        <v>93</v>
      </c>
    </row>
    <row r="20" spans="1:20" ht="18" customHeight="1" x14ac:dyDescent="0.25">
      <c r="A20" s="40"/>
      <c r="Q20" s="5" t="s">
        <v>94</v>
      </c>
      <c r="R20" s="16">
        <f>$R$12-$R$19</f>
        <v>4.4999999999999984E-2</v>
      </c>
      <c r="S20" s="5" t="s">
        <v>95</v>
      </c>
    </row>
    <row r="21" spans="1:20" ht="18" customHeight="1" x14ac:dyDescent="0.25">
      <c r="A21" s="40"/>
      <c r="Q21" s="14" t="s">
        <v>96</v>
      </c>
    </row>
    <row r="22" spans="1:20" ht="18" customHeight="1" x14ac:dyDescent="0.25">
      <c r="A22" s="40"/>
      <c r="Q22" s="5" t="s">
        <v>97</v>
      </c>
      <c r="R22" s="18">
        <f>$R$11+$R$10-$R$12</f>
        <v>0.73750000000000004</v>
      </c>
      <c r="S22" s="5" t="s">
        <v>98</v>
      </c>
      <c r="T22" s="19" t="str">
        <f>IF(ABS(R22-$R$18)&lt;0.000001,"ano","ne")</f>
        <v>ano</v>
      </c>
    </row>
    <row r="23" spans="1:20" ht="18" customHeight="1" x14ac:dyDescent="0.25">
      <c r="A23" s="40"/>
      <c r="Q23" s="5" t="s">
        <v>99</v>
      </c>
      <c r="R23" s="18">
        <f>$R$11*$R$14</f>
        <v>0.30000000000000004</v>
      </c>
      <c r="S23" s="5" t="s">
        <v>100</v>
      </c>
      <c r="T23" s="19" t="str">
        <f>IF(ABS(R23-$R$12)&lt;0.000001,"ano","ne")</f>
        <v>ano</v>
      </c>
    </row>
    <row r="24" spans="1:20" ht="18" customHeight="1" x14ac:dyDescent="0.25">
      <c r="Q24" s="5" t="s">
        <v>101</v>
      </c>
      <c r="R24" s="18">
        <f>1-$E$5/$R$8</f>
        <v>0.73750000000000004</v>
      </c>
      <c r="S24" s="5" t="s">
        <v>102</v>
      </c>
      <c r="T24" s="19" t="str">
        <f>IF(ABS(R24-$R$18)&lt;0.000001,"ano","ne")</f>
        <v>ano</v>
      </c>
    </row>
    <row r="25" spans="1:20" ht="18" customHeight="1" x14ac:dyDescent="0.25">
      <c r="A25" s="41" t="s">
        <v>54</v>
      </c>
    </row>
    <row r="26" spans="1:20" ht="18" customHeight="1" x14ac:dyDescent="0.25">
      <c r="A26" s="40"/>
      <c r="Q26" s="42" t="s">
        <v>103</v>
      </c>
      <c r="R26" s="42"/>
      <c r="S26" s="42"/>
    </row>
    <row r="27" spans="1:20" ht="18" customHeight="1" x14ac:dyDescent="0.25">
      <c r="Q27" s="40" t="s">
        <v>104</v>
      </c>
      <c r="R27" s="40"/>
      <c r="S27" s="40"/>
    </row>
    <row r="28" spans="1:20" ht="18" customHeight="1" x14ac:dyDescent="0.25">
      <c r="Q28" s="40"/>
      <c r="R28" s="40"/>
      <c r="S28" s="40"/>
    </row>
    <row r="29" spans="1:20" ht="18" customHeight="1" x14ac:dyDescent="0.25">
      <c r="Q29" s="40"/>
      <c r="R29" s="40"/>
      <c r="S29" s="40"/>
    </row>
    <row r="30" spans="1:20" ht="18" customHeight="1" x14ac:dyDescent="0.25">
      <c r="Q30" s="40"/>
      <c r="R30" s="40"/>
      <c r="S30" s="40"/>
    </row>
    <row r="31" spans="1:20" ht="18" customHeight="1" x14ac:dyDescent="0.25">
      <c r="Q31" s="40"/>
      <c r="R31" s="40"/>
      <c r="S31" s="40"/>
    </row>
    <row r="32" spans="1:20" ht="18" customHeight="1" x14ac:dyDescent="0.25">
      <c r="A32" s="11" t="s">
        <v>62</v>
      </c>
      <c r="Q32" s="40"/>
      <c r="R32" s="40"/>
      <c r="S32" s="40"/>
    </row>
    <row r="33" spans="1:19" ht="18" customHeight="1" x14ac:dyDescent="0.25">
      <c r="Q33" s="40"/>
      <c r="R33" s="40"/>
      <c r="S33" s="40"/>
    </row>
    <row r="34" spans="1:19" ht="18" customHeight="1" x14ac:dyDescent="0.25">
      <c r="Q34" s="40"/>
      <c r="R34" s="40"/>
      <c r="S34" s="40"/>
    </row>
    <row r="35" spans="1:19" ht="18" customHeight="1" x14ac:dyDescent="0.25">
      <c r="Q35" s="40"/>
      <c r="R35" s="40"/>
      <c r="S35" s="40"/>
    </row>
    <row r="36" spans="1:19" ht="18" customHeight="1" x14ac:dyDescent="0.25">
      <c r="A36" s="41" t="s">
        <v>63</v>
      </c>
      <c r="Q36" s="40"/>
      <c r="R36" s="40"/>
      <c r="S36" s="40"/>
    </row>
    <row r="37" spans="1:19" ht="18" customHeight="1" x14ac:dyDescent="0.25">
      <c r="A37" s="40"/>
      <c r="Q37" s="40"/>
      <c r="R37" s="40"/>
      <c r="S37" s="40"/>
    </row>
    <row r="38" spans="1:19" ht="18" customHeight="1" x14ac:dyDescent="0.25">
      <c r="A38" s="40"/>
      <c r="Q38" s="40"/>
      <c r="R38" s="40"/>
      <c r="S38" s="40"/>
    </row>
    <row r="39" spans="1:19" ht="18" customHeight="1" x14ac:dyDescent="0.25">
      <c r="Q39" s="40"/>
      <c r="R39" s="40"/>
      <c r="S39" s="40"/>
    </row>
    <row r="40" spans="1:19" ht="18" customHeight="1" x14ac:dyDescent="0.25">
      <c r="Q40" s="40"/>
      <c r="R40" s="40"/>
      <c r="S40" s="40"/>
    </row>
    <row r="41" spans="1:19" ht="18" customHeight="1" x14ac:dyDescent="0.25">
      <c r="Q41" s="40"/>
      <c r="R41" s="40"/>
      <c r="S41" s="40"/>
    </row>
    <row r="42" spans="1:19" ht="18" customHeight="1" x14ac:dyDescent="0.25">
      <c r="A42" s="41" t="s">
        <v>64</v>
      </c>
      <c r="Q42" s="40"/>
      <c r="R42" s="40"/>
      <c r="S42" s="40"/>
    </row>
    <row r="43" spans="1:19" ht="18" customHeight="1" x14ac:dyDescent="0.25">
      <c r="A43" s="40"/>
    </row>
    <row r="44" spans="1:19" ht="18" customHeight="1" x14ac:dyDescent="0.25"/>
    <row r="45" spans="1:19" ht="18" customHeight="1" x14ac:dyDescent="0.25"/>
    <row r="46" spans="1:19" ht="18" customHeight="1" x14ac:dyDescent="0.25"/>
    <row r="47" spans="1:19" ht="18" customHeight="1" x14ac:dyDescent="0.25">
      <c r="A47" s="41" t="s">
        <v>65</v>
      </c>
    </row>
    <row r="48" spans="1:19" ht="18" customHeight="1" x14ac:dyDescent="0.25">
      <c r="A48" s="40"/>
    </row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</sheetData>
  <mergeCells count="9">
    <mergeCell ref="A47:A48"/>
    <mergeCell ref="Q26:S26"/>
    <mergeCell ref="Q27:S42"/>
    <mergeCell ref="A4:A8"/>
    <mergeCell ref="A10:A17"/>
    <mergeCell ref="A19:A23"/>
    <mergeCell ref="A25:A26"/>
    <mergeCell ref="A36:A38"/>
    <mergeCell ref="A42:A43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D745-6EFC-4801-995E-8495C5C08D2F}">
  <dimension ref="A1:U80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30.625" customWidth="1"/>
    <col min="4" max="5" width="12.625" customWidth="1"/>
    <col min="6" max="6" width="2.625" customWidth="1"/>
    <col min="7" max="7" width="40.625" customWidth="1"/>
    <col min="8" max="9" width="13.625" customWidth="1"/>
    <col min="10" max="10" width="2.625" customWidth="1"/>
    <col min="11" max="11" width="9.625" customWidth="1"/>
    <col min="12" max="12" width="13.625" customWidth="1"/>
    <col min="13" max="13" width="15.625" customWidth="1"/>
    <col min="14" max="15" width="13.625" customWidth="1"/>
    <col min="16" max="16" width="2.625" customWidth="1"/>
    <col min="17" max="17" width="60.625" customWidth="1"/>
    <col min="18" max="19" width="13.625" customWidth="1"/>
    <col min="20" max="20" width="50.625" customWidth="1"/>
    <col min="21" max="21" width="13.625" customWidth="1"/>
  </cols>
  <sheetData>
    <row r="1" spans="1:21" ht="19.05" x14ac:dyDescent="0.25">
      <c r="A1" s="1" t="s">
        <v>105</v>
      </c>
    </row>
    <row r="2" spans="1:21" x14ac:dyDescent="0.25">
      <c r="A2" s="2" t="s">
        <v>106</v>
      </c>
    </row>
    <row r="3" spans="1:21" ht="31.95" customHeight="1" x14ac:dyDescent="0.25">
      <c r="A3" s="3" t="s">
        <v>40</v>
      </c>
      <c r="C3" s="3" t="s">
        <v>107</v>
      </c>
      <c r="D3" s="3" t="s">
        <v>108</v>
      </c>
      <c r="G3" s="3" t="s">
        <v>44</v>
      </c>
      <c r="H3" s="3" t="s">
        <v>109</v>
      </c>
      <c r="I3" s="3" t="s">
        <v>110</v>
      </c>
      <c r="Q3" s="11" t="s">
        <v>46</v>
      </c>
      <c r="R3" s="11" t="s">
        <v>109</v>
      </c>
      <c r="S3" s="11" t="s">
        <v>110</v>
      </c>
      <c r="T3" s="11" t="s">
        <v>47</v>
      </c>
      <c r="U3" s="11" t="s">
        <v>48</v>
      </c>
    </row>
    <row r="4" spans="1:21" ht="18" customHeight="1" x14ac:dyDescent="0.25">
      <c r="A4" s="40" t="s">
        <v>116</v>
      </c>
      <c r="C4" t="s">
        <v>111</v>
      </c>
      <c r="D4" s="20">
        <v>100000</v>
      </c>
      <c r="G4" s="4" t="s">
        <v>119</v>
      </c>
      <c r="H4" s="22"/>
      <c r="I4" s="22"/>
      <c r="Q4" s="14" t="s">
        <v>127</v>
      </c>
    </row>
    <row r="5" spans="1:21" ht="18" customHeight="1" x14ac:dyDescent="0.25">
      <c r="A5" s="40"/>
      <c r="C5" t="s">
        <v>112</v>
      </c>
      <c r="D5" s="21">
        <v>0.01</v>
      </c>
      <c r="G5" s="4" t="s">
        <v>120</v>
      </c>
      <c r="H5" s="22"/>
      <c r="I5" s="22"/>
      <c r="Q5" s="5" t="s">
        <v>128</v>
      </c>
      <c r="R5" s="23">
        <f>$D$4*$D$5</f>
        <v>1000</v>
      </c>
      <c r="S5" s="23">
        <f>$D$4*$D$5</f>
        <v>1000</v>
      </c>
      <c r="T5" s="5" t="s">
        <v>129</v>
      </c>
    </row>
    <row r="6" spans="1:21" ht="18" customHeight="1" x14ac:dyDescent="0.25">
      <c r="A6" s="40"/>
      <c r="C6" t="s">
        <v>113</v>
      </c>
      <c r="D6" s="21">
        <v>0.8</v>
      </c>
      <c r="G6" s="4" t="s">
        <v>121</v>
      </c>
      <c r="H6" s="22"/>
      <c r="I6" s="22"/>
      <c r="Q6" s="5" t="s">
        <v>130</v>
      </c>
      <c r="R6" s="23">
        <f>$D$4-$R$5</f>
        <v>99000</v>
      </c>
      <c r="S6" s="23">
        <f>$D$4-$S$5</f>
        <v>99000</v>
      </c>
      <c r="T6" s="5" t="s">
        <v>131</v>
      </c>
    </row>
    <row r="7" spans="1:21" ht="18" customHeight="1" x14ac:dyDescent="0.25">
      <c r="A7" s="40"/>
      <c r="C7" t="s">
        <v>114</v>
      </c>
      <c r="D7" s="21">
        <v>9.6000000000000002E-2</v>
      </c>
      <c r="G7" s="4" t="s">
        <v>122</v>
      </c>
      <c r="H7" s="13"/>
      <c r="I7" s="13"/>
      <c r="Q7" s="5" t="s">
        <v>132</v>
      </c>
      <c r="R7" s="23">
        <f>$R$5*$D$6</f>
        <v>800</v>
      </c>
      <c r="S7" s="23">
        <f>$S$5*$D$6</f>
        <v>800</v>
      </c>
      <c r="T7" s="5" t="s">
        <v>133</v>
      </c>
    </row>
    <row r="8" spans="1:21" ht="18" customHeight="1" x14ac:dyDescent="0.25">
      <c r="C8" t="s">
        <v>115</v>
      </c>
      <c r="D8" s="21">
        <v>0.05</v>
      </c>
      <c r="G8" s="4" t="s">
        <v>123</v>
      </c>
      <c r="H8" s="13"/>
      <c r="I8" s="13"/>
      <c r="Q8" s="5" t="s">
        <v>134</v>
      </c>
      <c r="R8" s="23">
        <f>$R$5-$R$7</f>
        <v>200</v>
      </c>
      <c r="S8" s="23">
        <f>$S$5-$S$7</f>
        <v>200</v>
      </c>
      <c r="T8" s="5" t="s">
        <v>135</v>
      </c>
    </row>
    <row r="9" spans="1:21" ht="18" customHeight="1" x14ac:dyDescent="0.25">
      <c r="A9" s="40" t="s">
        <v>117</v>
      </c>
      <c r="Q9" s="5" t="s">
        <v>136</v>
      </c>
      <c r="R9" s="23">
        <f>$R$6*$D$7</f>
        <v>9504</v>
      </c>
      <c r="S9" s="23">
        <f>$S$6*$D$8</f>
        <v>4950</v>
      </c>
      <c r="T9" s="5" t="s">
        <v>137</v>
      </c>
    </row>
    <row r="10" spans="1:21" ht="18" customHeight="1" x14ac:dyDescent="0.25">
      <c r="A10" s="40"/>
      <c r="Q10" s="5" t="s">
        <v>138</v>
      </c>
      <c r="R10" s="23">
        <f>$R$6-$R$9</f>
        <v>89496</v>
      </c>
      <c r="S10" s="23">
        <f>$S$6-$S$9</f>
        <v>94050</v>
      </c>
      <c r="T10" s="5" t="s">
        <v>139</v>
      </c>
    </row>
    <row r="11" spans="1:21" ht="18" customHeight="1" x14ac:dyDescent="0.25">
      <c r="A11" s="40"/>
      <c r="Q11" s="5" t="s">
        <v>140</v>
      </c>
      <c r="R11" s="23">
        <f>$R$7+$R$9</f>
        <v>10304</v>
      </c>
      <c r="S11" s="23">
        <f>$S$7+$S$9</f>
        <v>5750</v>
      </c>
      <c r="T11" s="5" t="s">
        <v>141</v>
      </c>
    </row>
    <row r="12" spans="1:21" ht="18" customHeight="1" x14ac:dyDescent="0.25">
      <c r="A12" s="40"/>
      <c r="Q12" s="5" t="s">
        <v>142</v>
      </c>
      <c r="R12" s="23">
        <f>$R$8+$R$10</f>
        <v>89696</v>
      </c>
      <c r="S12" s="23">
        <f>$S$8+$S$10</f>
        <v>94250</v>
      </c>
      <c r="T12" s="5" t="s">
        <v>143</v>
      </c>
    </row>
    <row r="13" spans="1:21" ht="18" customHeight="1" x14ac:dyDescent="0.25">
      <c r="A13" s="40"/>
      <c r="Q13" s="14" t="s">
        <v>144</v>
      </c>
    </row>
    <row r="14" spans="1:21" ht="18" customHeight="1" x14ac:dyDescent="0.25">
      <c r="A14" s="40"/>
      <c r="Q14" s="5" t="s">
        <v>145</v>
      </c>
      <c r="R14" s="16">
        <f>$R$7/$R$11</f>
        <v>7.7639751552795025E-2</v>
      </c>
      <c r="S14" s="16">
        <f>$S$7/$S$11</f>
        <v>0.1391304347826087</v>
      </c>
      <c r="T14" s="5" t="s">
        <v>146</v>
      </c>
    </row>
    <row r="15" spans="1:21" ht="18" customHeight="1" x14ac:dyDescent="0.25">
      <c r="A15" s="40"/>
      <c r="Q15" s="5" t="s">
        <v>147</v>
      </c>
      <c r="R15" s="16">
        <f>$R$10/$R$12</f>
        <v>0.99777024616482335</v>
      </c>
      <c r="S15" s="16">
        <f>$S$10/$S$12</f>
        <v>0.9978779840848806</v>
      </c>
      <c r="T15" s="5" t="s">
        <v>148</v>
      </c>
    </row>
    <row r="16" spans="1:21" ht="18" customHeight="1" x14ac:dyDescent="0.25">
      <c r="A16" s="40"/>
      <c r="Q16" s="5" t="s">
        <v>149</v>
      </c>
      <c r="R16" s="24">
        <f>1-$D$7</f>
        <v>0.90400000000000003</v>
      </c>
      <c r="S16" s="24">
        <f>1-$D$8</f>
        <v>0.95</v>
      </c>
      <c r="T16" s="5" t="s">
        <v>150</v>
      </c>
    </row>
    <row r="17" spans="1:21" ht="18" customHeight="1" x14ac:dyDescent="0.25">
      <c r="Q17" s="14" t="s">
        <v>151</v>
      </c>
    </row>
    <row r="18" spans="1:21" ht="18" customHeight="1" x14ac:dyDescent="0.25">
      <c r="A18" s="43" t="s">
        <v>53</v>
      </c>
      <c r="Q18" s="5" t="s">
        <v>152</v>
      </c>
      <c r="R18" s="25">
        <f>$D$5*$D$6+(1-$D$5)*$D$7</f>
        <v>0.10303999999999999</v>
      </c>
      <c r="S18" s="25">
        <f>$D$5*$D$6+(1-$D$5)*$D$8</f>
        <v>5.7500000000000002E-2</v>
      </c>
      <c r="T18" s="5" t="s">
        <v>153</v>
      </c>
    </row>
    <row r="19" spans="1:21" ht="18" customHeight="1" x14ac:dyDescent="0.25">
      <c r="A19" s="40"/>
      <c r="Q19" s="5" t="s">
        <v>154</v>
      </c>
      <c r="R19" s="16">
        <f>$D$5*$D$6/$R$18</f>
        <v>7.7639751552795039E-2</v>
      </c>
      <c r="S19" s="16">
        <f>$D$5*$D$6/$S$18</f>
        <v>0.1391304347826087</v>
      </c>
      <c r="T19" s="5" t="s">
        <v>155</v>
      </c>
    </row>
    <row r="20" spans="1:21" ht="18" customHeight="1" x14ac:dyDescent="0.25">
      <c r="A20" s="40"/>
      <c r="Q20" s="14" t="s">
        <v>156</v>
      </c>
    </row>
    <row r="21" spans="1:21" ht="18" customHeight="1" x14ac:dyDescent="0.25">
      <c r="A21" s="40"/>
      <c r="Q21" s="5" t="s">
        <v>157</v>
      </c>
      <c r="R21" s="26">
        <f>$R$11/$D$4</f>
        <v>0.10304000000000001</v>
      </c>
      <c r="S21" s="26">
        <f>$S$11/$D$4</f>
        <v>5.7500000000000002E-2</v>
      </c>
      <c r="T21" s="5" t="s">
        <v>158</v>
      </c>
      <c r="U21" s="19" t="str">
        <f>IF(AND(ABS(R21-$R$18)&lt;0.000001,ABS(S21-$S$18)&lt;0.000001),"ano","ne")</f>
        <v>ano</v>
      </c>
    </row>
    <row r="22" spans="1:21" ht="18" customHeight="1" x14ac:dyDescent="0.25">
      <c r="A22" s="40"/>
      <c r="Q22" s="5" t="s">
        <v>159</v>
      </c>
      <c r="R22" s="18">
        <f>$R$19</f>
        <v>7.7639751552795039E-2</v>
      </c>
      <c r="S22" s="18">
        <f>$S$19</f>
        <v>0.1391304347826087</v>
      </c>
      <c r="T22" s="5" t="s">
        <v>160</v>
      </c>
      <c r="U22" s="19" t="str">
        <f>IF(AND(ABS(R22-$R$14)&lt;0.000001,ABS(S22-$S$14)&lt;0.000001),"ano","ne")</f>
        <v>ano</v>
      </c>
    </row>
    <row r="23" spans="1:21" ht="18" customHeight="1" x14ac:dyDescent="0.25"/>
    <row r="24" spans="1:21" ht="18" customHeight="1" x14ac:dyDescent="0.25">
      <c r="A24" s="41" t="s">
        <v>118</v>
      </c>
      <c r="Q24" s="42" t="s">
        <v>103</v>
      </c>
      <c r="R24" s="42"/>
      <c r="S24" s="42"/>
      <c r="T24" s="42"/>
    </row>
    <row r="25" spans="1:21" ht="18" customHeight="1" x14ac:dyDescent="0.25">
      <c r="A25" s="40"/>
      <c r="Q25" s="40" t="s">
        <v>161</v>
      </c>
      <c r="R25" s="40"/>
      <c r="S25" s="40"/>
      <c r="T25" s="40"/>
    </row>
    <row r="26" spans="1:21" ht="18" customHeight="1" x14ac:dyDescent="0.25">
      <c r="Q26" s="40"/>
      <c r="R26" s="40"/>
      <c r="S26" s="40"/>
      <c r="T26" s="40"/>
    </row>
    <row r="27" spans="1:21" ht="18" customHeight="1" x14ac:dyDescent="0.25">
      <c r="Q27" s="40"/>
      <c r="R27" s="40"/>
      <c r="S27" s="40"/>
      <c r="T27" s="40"/>
    </row>
    <row r="28" spans="1:21" ht="18" customHeight="1" x14ac:dyDescent="0.25">
      <c r="Q28" s="40"/>
      <c r="R28" s="40"/>
      <c r="S28" s="40"/>
      <c r="T28" s="40"/>
    </row>
    <row r="29" spans="1:21" ht="18" customHeight="1" x14ac:dyDescent="0.25">
      <c r="Q29" s="40"/>
      <c r="R29" s="40"/>
      <c r="S29" s="40"/>
      <c r="T29" s="40"/>
    </row>
    <row r="30" spans="1:21" ht="18" customHeight="1" x14ac:dyDescent="0.25">
      <c r="Q30" s="40"/>
      <c r="R30" s="40"/>
      <c r="S30" s="40"/>
      <c r="T30" s="40"/>
    </row>
    <row r="31" spans="1:21" ht="18" customHeight="1" x14ac:dyDescent="0.25">
      <c r="Q31" s="40"/>
      <c r="R31" s="40"/>
      <c r="S31" s="40"/>
      <c r="T31" s="40"/>
    </row>
    <row r="32" spans="1:21" ht="18" customHeight="1" x14ac:dyDescent="0.25">
      <c r="A32" s="11" t="s">
        <v>62</v>
      </c>
      <c r="Q32" s="40"/>
      <c r="R32" s="40"/>
      <c r="S32" s="40"/>
      <c r="T32" s="40"/>
    </row>
    <row r="33" spans="1:20" ht="18" customHeight="1" x14ac:dyDescent="0.25">
      <c r="Q33" s="40"/>
      <c r="R33" s="40"/>
      <c r="S33" s="40"/>
      <c r="T33" s="40"/>
    </row>
    <row r="34" spans="1:20" ht="18" customHeight="1" x14ac:dyDescent="0.25">
      <c r="Q34" s="40"/>
      <c r="R34" s="40"/>
      <c r="S34" s="40"/>
      <c r="T34" s="40"/>
    </row>
    <row r="35" spans="1:20" ht="18" customHeight="1" x14ac:dyDescent="0.25">
      <c r="Q35" s="40"/>
      <c r="R35" s="40"/>
      <c r="S35" s="40"/>
      <c r="T35" s="40"/>
    </row>
    <row r="36" spans="1:20" ht="18" customHeight="1" x14ac:dyDescent="0.25">
      <c r="A36" s="41" t="s">
        <v>124</v>
      </c>
      <c r="Q36" s="40"/>
      <c r="R36" s="40"/>
      <c r="S36" s="40"/>
      <c r="T36" s="40"/>
    </row>
    <row r="37" spans="1:20" ht="18" customHeight="1" x14ac:dyDescent="0.25">
      <c r="A37" s="40"/>
      <c r="Q37" s="40"/>
      <c r="R37" s="40"/>
      <c r="S37" s="40"/>
      <c r="T37" s="40"/>
    </row>
    <row r="38" spans="1:20" ht="18" customHeight="1" x14ac:dyDescent="0.25">
      <c r="A38" s="40"/>
      <c r="Q38" s="40"/>
      <c r="R38" s="40"/>
      <c r="S38" s="40"/>
      <c r="T38" s="40"/>
    </row>
    <row r="39" spans="1:20" ht="18" customHeight="1" x14ac:dyDescent="0.25">
      <c r="Q39" s="40"/>
      <c r="R39" s="40"/>
      <c r="S39" s="40"/>
      <c r="T39" s="40"/>
    </row>
    <row r="40" spans="1:20" ht="18" customHeight="1" x14ac:dyDescent="0.25">
      <c r="Q40" s="40"/>
      <c r="R40" s="40"/>
      <c r="S40" s="40"/>
      <c r="T40" s="40"/>
    </row>
    <row r="41" spans="1:20" ht="18" customHeight="1" x14ac:dyDescent="0.25"/>
    <row r="42" spans="1:20" ht="18" customHeight="1" x14ac:dyDescent="0.25"/>
    <row r="43" spans="1:20" ht="18" customHeight="1" x14ac:dyDescent="0.25">
      <c r="A43" s="41" t="s">
        <v>125</v>
      </c>
    </row>
    <row r="44" spans="1:20" ht="18" customHeight="1" x14ac:dyDescent="0.25">
      <c r="A44" s="40"/>
    </row>
    <row r="45" spans="1:20" ht="18" customHeight="1" x14ac:dyDescent="0.25"/>
    <row r="46" spans="1:20" ht="18" customHeight="1" x14ac:dyDescent="0.25"/>
    <row r="47" spans="1:20" ht="18" customHeight="1" x14ac:dyDescent="0.25"/>
    <row r="48" spans="1:20" ht="18" customHeight="1" x14ac:dyDescent="0.25"/>
    <row r="49" spans="1:1" ht="18" customHeight="1" x14ac:dyDescent="0.25"/>
    <row r="50" spans="1:1" ht="18" customHeight="1" x14ac:dyDescent="0.25">
      <c r="A50" s="41" t="s">
        <v>126</v>
      </c>
    </row>
    <row r="51" spans="1:1" ht="18" customHeight="1" x14ac:dyDescent="0.25">
      <c r="A51" s="40"/>
    </row>
    <row r="52" spans="1:1" ht="18" customHeight="1" x14ac:dyDescent="0.25">
      <c r="A52" s="40"/>
    </row>
    <row r="53" spans="1:1" ht="18" customHeight="1" x14ac:dyDescent="0.25"/>
    <row r="54" spans="1:1" ht="18" customHeight="1" x14ac:dyDescent="0.25"/>
    <row r="55" spans="1:1" ht="18" customHeight="1" x14ac:dyDescent="0.25"/>
    <row r="56" spans="1:1" ht="18" customHeight="1" x14ac:dyDescent="0.25"/>
    <row r="57" spans="1:1" ht="18" customHeight="1" x14ac:dyDescent="0.25"/>
    <row r="58" spans="1:1" ht="18" customHeight="1" x14ac:dyDescent="0.25"/>
    <row r="59" spans="1:1" ht="18" customHeight="1" x14ac:dyDescent="0.25"/>
    <row r="60" spans="1:1" ht="18" customHeight="1" x14ac:dyDescent="0.25"/>
    <row r="61" spans="1:1" ht="18" customHeight="1" x14ac:dyDescent="0.25"/>
    <row r="62" spans="1:1" ht="18" customHeight="1" x14ac:dyDescent="0.25"/>
    <row r="63" spans="1:1" ht="18" customHeight="1" x14ac:dyDescent="0.25"/>
    <row r="64" spans="1: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</sheetData>
  <mergeCells count="9">
    <mergeCell ref="A50:A52"/>
    <mergeCell ref="Q24:T24"/>
    <mergeCell ref="Q25:T40"/>
    <mergeCell ref="A4:A7"/>
    <mergeCell ref="A9:A16"/>
    <mergeCell ref="A18:A22"/>
    <mergeCell ref="A24:A25"/>
    <mergeCell ref="A36:A38"/>
    <mergeCell ref="A43:A44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65BB-F263-4B58-9DD6-5817E50D441A}">
  <dimension ref="A1:T80"/>
  <sheetViews>
    <sheetView topLeftCell="D1" workbookViewId="0">
      <pane ySplit="3" topLeftCell="A4" activePane="bottomLeft" state="frozenSplit"/>
      <selection pane="bottomLeft" activeCell="N19" sqref="N19"/>
    </sheetView>
  </sheetViews>
  <sheetFormatPr defaultRowHeight="14.3" x14ac:dyDescent="0.25"/>
  <cols>
    <col min="1" max="1" width="54.625" customWidth="1"/>
    <col min="2" max="2" width="2.625" customWidth="1"/>
    <col min="3" max="3" width="30.625" customWidth="1"/>
    <col min="4" max="5" width="12.625" customWidth="1"/>
    <col min="6" max="6" width="2.625" customWidth="1"/>
    <col min="7" max="7" width="40.625" customWidth="1"/>
    <col min="8" max="9" width="13.625" customWidth="1"/>
    <col min="10" max="10" width="2.625" customWidth="1"/>
    <col min="11" max="11" width="9.625" customWidth="1"/>
    <col min="12" max="12" width="13.625" customWidth="1"/>
    <col min="13" max="13" width="15.625" customWidth="1"/>
    <col min="14" max="15" width="13.625" customWidth="1"/>
    <col min="16" max="16" width="2.625" customWidth="1"/>
    <col min="17" max="17" width="60.625" customWidth="1"/>
    <col min="18" max="18" width="13.625" customWidth="1"/>
    <col min="19" max="19" width="50.625" customWidth="1"/>
    <col min="20" max="20" width="13.625" customWidth="1"/>
  </cols>
  <sheetData>
    <row r="1" spans="1:20" ht="19.05" x14ac:dyDescent="0.25">
      <c r="A1" s="1" t="s">
        <v>162</v>
      </c>
    </row>
    <row r="2" spans="1:20" x14ac:dyDescent="0.25">
      <c r="A2" s="2" t="s">
        <v>163</v>
      </c>
    </row>
    <row r="3" spans="1:20" ht="31.95" customHeight="1" x14ac:dyDescent="0.25">
      <c r="A3" s="3" t="s">
        <v>40</v>
      </c>
      <c r="C3" s="3" t="s">
        <v>107</v>
      </c>
      <c r="D3" s="3" t="s">
        <v>108</v>
      </c>
      <c r="G3" s="3" t="s">
        <v>44</v>
      </c>
      <c r="H3" s="3" t="s">
        <v>45</v>
      </c>
      <c r="K3" s="11" t="s">
        <v>179</v>
      </c>
      <c r="L3" s="11" t="s">
        <v>180</v>
      </c>
      <c r="M3" s="11" t="s">
        <v>181</v>
      </c>
      <c r="N3" s="11" t="s">
        <v>182</v>
      </c>
      <c r="O3" s="11" t="s">
        <v>183</v>
      </c>
      <c r="Q3" s="11" t="s">
        <v>46</v>
      </c>
      <c r="R3" s="11" t="s">
        <v>45</v>
      </c>
      <c r="S3" s="11" t="s">
        <v>47</v>
      </c>
      <c r="T3" s="11" t="s">
        <v>48</v>
      </c>
    </row>
    <row r="4" spans="1:20" ht="18" customHeight="1" x14ac:dyDescent="0.25">
      <c r="A4" s="40" t="s">
        <v>166</v>
      </c>
      <c r="C4" t="s">
        <v>164</v>
      </c>
      <c r="D4">
        <v>10</v>
      </c>
      <c r="G4" s="4" t="s">
        <v>169</v>
      </c>
      <c r="H4" s="27"/>
      <c r="K4" s="30">
        <f>0</f>
        <v>0</v>
      </c>
      <c r="L4" s="30">
        <f t="shared" ref="L4:L14" si="0">COMBIN($D$4,K4)</f>
        <v>1</v>
      </c>
      <c r="M4" s="31">
        <f t="shared" ref="M4:M14" si="1">$R$4^K4*(1-$R$4)^($D$4-K4)</f>
        <v>0.10737418240000011</v>
      </c>
      <c r="N4" s="32">
        <f t="shared" ref="N4:N14" si="2">L4*M4</f>
        <v>0.10737418240000011</v>
      </c>
      <c r="O4" s="32">
        <f>SUM(N4:N$14)</f>
        <v>1.0000000000000009</v>
      </c>
      <c r="Q4" s="5" t="s">
        <v>184</v>
      </c>
      <c r="R4" s="33">
        <f>1/$D$5</f>
        <v>0.2</v>
      </c>
      <c r="S4" s="5" t="s">
        <v>185</v>
      </c>
    </row>
    <row r="5" spans="1:20" ht="18" customHeight="1" x14ac:dyDescent="0.25">
      <c r="A5" s="40"/>
      <c r="C5" t="s">
        <v>165</v>
      </c>
      <c r="D5">
        <v>5</v>
      </c>
      <c r="G5" s="4" t="s">
        <v>170</v>
      </c>
      <c r="H5" s="28"/>
      <c r="K5" s="30">
        <f>1</f>
        <v>1</v>
      </c>
      <c r="L5" s="30">
        <f t="shared" si="0"/>
        <v>10</v>
      </c>
      <c r="M5" s="31">
        <f t="shared" si="1"/>
        <v>2.6843545600000025E-2</v>
      </c>
      <c r="N5" s="32">
        <f t="shared" si="2"/>
        <v>0.26843545600000024</v>
      </c>
      <c r="O5" s="32">
        <f>SUM(N5:N$14)</f>
        <v>0.8926258176000007</v>
      </c>
      <c r="Q5" s="14" t="s">
        <v>186</v>
      </c>
    </row>
    <row r="6" spans="1:20" ht="18" customHeight="1" x14ac:dyDescent="0.25">
      <c r="A6" s="40"/>
      <c r="G6" s="4" t="s">
        <v>171</v>
      </c>
      <c r="H6" s="27"/>
      <c r="K6" s="30">
        <f>2</f>
        <v>2</v>
      </c>
      <c r="L6" s="30">
        <f t="shared" si="0"/>
        <v>45</v>
      </c>
      <c r="M6" s="31">
        <f t="shared" si="1"/>
        <v>6.7108864000000072E-3</v>
      </c>
      <c r="N6" s="32">
        <f t="shared" si="2"/>
        <v>0.30198988800000032</v>
      </c>
      <c r="O6" s="32">
        <f>SUM(N6:N$14)</f>
        <v>0.62419036160000052</v>
      </c>
      <c r="Q6" s="5" t="s">
        <v>187</v>
      </c>
      <c r="R6" s="16">
        <f>(1-$R$4)^$D$4</f>
        <v>0.10737418240000011</v>
      </c>
      <c r="S6" s="5" t="s">
        <v>188</v>
      </c>
    </row>
    <row r="7" spans="1:20" ht="18" customHeight="1" x14ac:dyDescent="0.25">
      <c r="A7" s="40"/>
      <c r="G7" s="4" t="s">
        <v>172</v>
      </c>
      <c r="H7" s="13"/>
      <c r="K7" s="30">
        <f>3</f>
        <v>3</v>
      </c>
      <c r="L7" s="30">
        <f t="shared" si="0"/>
        <v>120</v>
      </c>
      <c r="M7" s="31">
        <f t="shared" si="1"/>
        <v>1.6777216000000016E-3</v>
      </c>
      <c r="N7" s="32">
        <f t="shared" si="2"/>
        <v>0.20132659200000019</v>
      </c>
      <c r="O7" s="32">
        <f>SUM(N7:N$14)</f>
        <v>0.32220047360000031</v>
      </c>
      <c r="Q7" s="5" t="s">
        <v>189</v>
      </c>
      <c r="R7" s="16">
        <f>L6*M6</f>
        <v>0.30198988800000032</v>
      </c>
      <c r="S7" s="5" t="s">
        <v>190</v>
      </c>
    </row>
    <row r="8" spans="1:20" ht="18" customHeight="1" x14ac:dyDescent="0.25">
      <c r="A8" s="40"/>
      <c r="G8" s="4" t="s">
        <v>173</v>
      </c>
      <c r="H8" s="28"/>
      <c r="K8" s="30">
        <f>4</f>
        <v>4</v>
      </c>
      <c r="L8" s="30">
        <f t="shared" si="0"/>
        <v>209.99999999999997</v>
      </c>
      <c r="M8" s="31">
        <f t="shared" si="1"/>
        <v>4.1943040000000045E-4</v>
      </c>
      <c r="N8" s="32">
        <f t="shared" si="2"/>
        <v>8.8080384000000081E-2</v>
      </c>
      <c r="O8" s="32">
        <f>SUM(N8:N$14)</f>
        <v>0.12087388160000011</v>
      </c>
      <c r="Q8" s="5" t="s">
        <v>191</v>
      </c>
      <c r="R8" s="16">
        <f>SUM($N$4:$N$14)</f>
        <v>1.0000000000000009</v>
      </c>
      <c r="S8" s="5" t="s">
        <v>192</v>
      </c>
    </row>
    <row r="9" spans="1:20" ht="18" customHeight="1" x14ac:dyDescent="0.25">
      <c r="G9" s="4" t="s">
        <v>174</v>
      </c>
      <c r="H9" s="29"/>
      <c r="K9" s="30">
        <f>5</f>
        <v>5</v>
      </c>
      <c r="L9" s="30">
        <f t="shared" si="0"/>
        <v>252</v>
      </c>
      <c r="M9" s="31">
        <f t="shared" si="1"/>
        <v>1.0485760000000013E-4</v>
      </c>
      <c r="N9" s="32">
        <f t="shared" si="2"/>
        <v>2.6424115200000032E-2</v>
      </c>
      <c r="O9" s="32">
        <f>SUM(N9:N$14)</f>
        <v>3.2793497600000047E-2</v>
      </c>
      <c r="Q9" s="14" t="s">
        <v>193</v>
      </c>
    </row>
    <row r="10" spans="1:20" ht="18" customHeight="1" x14ac:dyDescent="0.25">
      <c r="A10" s="40" t="s">
        <v>167</v>
      </c>
      <c r="K10" s="30">
        <f>6</f>
        <v>6</v>
      </c>
      <c r="L10" s="30">
        <f t="shared" si="0"/>
        <v>209.99999999999997</v>
      </c>
      <c r="M10" s="31">
        <f t="shared" si="1"/>
        <v>2.6214400000000028E-5</v>
      </c>
      <c r="N10" s="32">
        <f t="shared" si="2"/>
        <v>5.5050240000000051E-3</v>
      </c>
      <c r="O10" s="32">
        <f>SUM(N10:N$14)</f>
        <v>6.3693824000000069E-3</v>
      </c>
      <c r="Q10" s="5" t="s">
        <v>194</v>
      </c>
      <c r="R10" s="33">
        <f>$D$4*$R$4</f>
        <v>2</v>
      </c>
      <c r="S10" s="5" t="s">
        <v>195</v>
      </c>
    </row>
    <row r="11" spans="1:20" ht="18" customHeight="1" x14ac:dyDescent="0.25">
      <c r="A11" s="40"/>
      <c r="K11" s="30">
        <f>7</f>
        <v>7</v>
      </c>
      <c r="L11" s="30">
        <f t="shared" si="0"/>
        <v>120</v>
      </c>
      <c r="M11" s="31">
        <f t="shared" si="1"/>
        <v>6.5536000000000062E-6</v>
      </c>
      <c r="N11" s="32">
        <f t="shared" si="2"/>
        <v>7.8643200000000075E-4</v>
      </c>
      <c r="O11" s="32">
        <f>SUM(N11:N$14)</f>
        <v>8.6435840000000086E-4</v>
      </c>
      <c r="Q11" s="5" t="s">
        <v>196</v>
      </c>
      <c r="R11" s="24">
        <f>SQRT($D$4*$R$4*(1-$R$4))</f>
        <v>1.2649110640673518</v>
      </c>
      <c r="S11" s="5" t="s">
        <v>197</v>
      </c>
    </row>
    <row r="12" spans="1:20" ht="18" customHeight="1" x14ac:dyDescent="0.25">
      <c r="A12" s="40"/>
      <c r="K12" s="30">
        <f>8</f>
        <v>8</v>
      </c>
      <c r="L12" s="30">
        <f t="shared" si="0"/>
        <v>45</v>
      </c>
      <c r="M12" s="31">
        <f t="shared" si="1"/>
        <v>1.6384000000000018E-6</v>
      </c>
      <c r="N12" s="32">
        <f t="shared" si="2"/>
        <v>7.3728000000000077E-5</v>
      </c>
      <c r="O12" s="32">
        <f>SUM(N12:N$14)</f>
        <v>7.7926400000000081E-5</v>
      </c>
      <c r="Q12" s="14" t="s">
        <v>198</v>
      </c>
    </row>
    <row r="13" spans="1:20" ht="18" customHeight="1" x14ac:dyDescent="0.25">
      <c r="A13" s="40"/>
      <c r="K13" s="30">
        <f>9</f>
        <v>9</v>
      </c>
      <c r="L13" s="30">
        <f t="shared" si="0"/>
        <v>10</v>
      </c>
      <c r="M13" s="31">
        <f t="shared" si="1"/>
        <v>4.0960000000000039E-7</v>
      </c>
      <c r="N13" s="32">
        <f t="shared" si="2"/>
        <v>4.0960000000000036E-6</v>
      </c>
      <c r="O13" s="32">
        <f>SUM(N13:N$14)</f>
        <v>4.1984000000000037E-6</v>
      </c>
      <c r="Q13" s="5" t="s">
        <v>199</v>
      </c>
      <c r="R13" s="16">
        <f>SUMIF($K$4:$K$14,"&gt;=6",$N$4:$N$14)</f>
        <v>6.3693824000000069E-3</v>
      </c>
      <c r="S13" s="5" t="s">
        <v>200</v>
      </c>
    </row>
    <row r="14" spans="1:20" ht="18" customHeight="1" x14ac:dyDescent="0.25">
      <c r="A14" s="40"/>
      <c r="K14" s="30">
        <f>10</f>
        <v>10</v>
      </c>
      <c r="L14" s="30">
        <f t="shared" si="0"/>
        <v>1</v>
      </c>
      <c r="M14" s="31">
        <f t="shared" si="1"/>
        <v>1.0240000000000011E-7</v>
      </c>
      <c r="N14" s="32">
        <f t="shared" si="2"/>
        <v>1.0240000000000011E-7</v>
      </c>
      <c r="O14" s="32">
        <f>SUM(N14:N$14)</f>
        <v>1.0240000000000011E-7</v>
      </c>
      <c r="Q14" s="5" t="s">
        <v>201</v>
      </c>
      <c r="R14" s="16">
        <f>SUMIF($K$4:$K$14,"&gt;=5",$N$4:$N$14)</f>
        <v>3.2793497600000047E-2</v>
      </c>
      <c r="S14" s="5" t="s">
        <v>202</v>
      </c>
    </row>
    <row r="15" spans="1:20" ht="18" customHeight="1" x14ac:dyDescent="0.25">
      <c r="A15" s="40"/>
      <c r="Q15" s="5" t="s">
        <v>203</v>
      </c>
      <c r="R15" s="16">
        <f>SUMIF($K$4:$K$14,"&gt;=4",$N$4:$N$14)</f>
        <v>0.12087388160000011</v>
      </c>
      <c r="S15" s="5" t="s">
        <v>204</v>
      </c>
    </row>
    <row r="16" spans="1:20" ht="18" customHeight="1" x14ac:dyDescent="0.25">
      <c r="A16" s="40"/>
      <c r="Q16" s="5" t="s">
        <v>205</v>
      </c>
      <c r="R16" s="34">
        <f>COUNTIF($O$4:$O$14,"&gt;0,05")</f>
        <v>5</v>
      </c>
      <c r="S16" s="5" t="s">
        <v>206</v>
      </c>
    </row>
    <row r="17" spans="1:20" ht="18" customHeight="1" x14ac:dyDescent="0.25">
      <c r="A17" s="40"/>
      <c r="Q17" s="14" t="s">
        <v>207</v>
      </c>
    </row>
    <row r="18" spans="1:20" ht="18" customHeight="1" x14ac:dyDescent="0.25">
      <c r="A18" s="40"/>
      <c r="Q18" s="5" t="s">
        <v>208</v>
      </c>
      <c r="R18" s="18">
        <f>_xlfn.BINOM.DIST(0,$D$4,$R$4,FALSE)</f>
        <v>0.1073741824</v>
      </c>
      <c r="S18" s="5" t="s">
        <v>209</v>
      </c>
      <c r="T18" s="19" t="str">
        <f>IF(ABS(R18-$R$6)&lt;0.000001,"ano","ne")</f>
        <v>ano</v>
      </c>
    </row>
    <row r="19" spans="1:20" ht="18" customHeight="1" x14ac:dyDescent="0.25">
      <c r="Q19" s="5" t="s">
        <v>210</v>
      </c>
      <c r="R19" s="18">
        <f>_xlfn.BINOM.DIST(2,$D$4,$R$4,FALSE)</f>
        <v>0.3019898880000001</v>
      </c>
      <c r="S19" s="5" t="s">
        <v>211</v>
      </c>
      <c r="T19" s="19" t="str">
        <f>IF(ABS(R19-$R$7)&lt;0.000001,"ano","ne")</f>
        <v>ano</v>
      </c>
    </row>
    <row r="20" spans="1:20" ht="18" customHeight="1" x14ac:dyDescent="0.25">
      <c r="A20" s="43" t="s">
        <v>53</v>
      </c>
      <c r="Q20" s="5" t="s">
        <v>212</v>
      </c>
      <c r="R20" s="18">
        <f>1-_xlfn.BINOM.DIST(5,$D$4,$R$4,TRUE)</f>
        <v>6.3693823999999566E-3</v>
      </c>
      <c r="S20" s="5" t="s">
        <v>213</v>
      </c>
      <c r="T20" s="19" t="str">
        <f>IF(ABS(R20-$R$13)&lt;0.000001,"ano","ne")</f>
        <v>ano</v>
      </c>
    </row>
    <row r="21" spans="1:20" ht="18" customHeight="1" x14ac:dyDescent="0.25">
      <c r="A21" s="40"/>
      <c r="Q21" s="5" t="s">
        <v>214</v>
      </c>
      <c r="R21" s="18">
        <f>_xlfn.BINOM.DIST.RANGE($D$4,$R$4,6,$D$4)</f>
        <v>6.3693824000000026E-3</v>
      </c>
      <c r="S21" s="5" t="s">
        <v>215</v>
      </c>
      <c r="T21" s="19" t="str">
        <f>IF(ABS(R21-$R$13)&lt;0.000001,"ano","ne")</f>
        <v>ano</v>
      </c>
    </row>
    <row r="22" spans="1:20" ht="18" customHeight="1" x14ac:dyDescent="0.25">
      <c r="A22" s="40"/>
      <c r="Q22" s="5" t="s">
        <v>216</v>
      </c>
      <c r="R22" s="35">
        <f>_xlfn.BINOM.INV($D$4,$R$4,0.95)+1</f>
        <v>5</v>
      </c>
      <c r="S22" s="5" t="s">
        <v>217</v>
      </c>
      <c r="T22" s="19" t="str">
        <f>IF(ABS(R22-$R$16)&lt;0.000001,"ano","ne")</f>
        <v>ano</v>
      </c>
    </row>
    <row r="23" spans="1:20" ht="18" customHeight="1" x14ac:dyDescent="0.25">
      <c r="A23" s="40"/>
    </row>
    <row r="24" spans="1:20" ht="18" customHeight="1" x14ac:dyDescent="0.25">
      <c r="A24" s="40"/>
      <c r="Q24" s="42" t="s">
        <v>103</v>
      </c>
      <c r="R24" s="42"/>
      <c r="S24" s="42"/>
    </row>
    <row r="25" spans="1:20" ht="18" customHeight="1" x14ac:dyDescent="0.25">
      <c r="Q25" s="40" t="s">
        <v>218</v>
      </c>
      <c r="R25" s="40"/>
      <c r="S25" s="40"/>
    </row>
    <row r="26" spans="1:20" ht="18" customHeight="1" x14ac:dyDescent="0.25">
      <c r="A26" s="41" t="s">
        <v>168</v>
      </c>
      <c r="Q26" s="40"/>
      <c r="R26" s="40"/>
      <c r="S26" s="40"/>
    </row>
    <row r="27" spans="1:20" ht="18" customHeight="1" x14ac:dyDescent="0.25">
      <c r="A27" s="40"/>
      <c r="Q27" s="40"/>
      <c r="R27" s="40"/>
      <c r="S27" s="40"/>
    </row>
    <row r="28" spans="1:20" ht="18" customHeight="1" x14ac:dyDescent="0.25">
      <c r="Q28" s="40"/>
      <c r="R28" s="40"/>
      <c r="S28" s="40"/>
    </row>
    <row r="29" spans="1:20" ht="18" customHeight="1" x14ac:dyDescent="0.25">
      <c r="Q29" s="40"/>
      <c r="R29" s="40"/>
      <c r="S29" s="40"/>
    </row>
    <row r="30" spans="1:20" ht="18" customHeight="1" x14ac:dyDescent="0.25">
      <c r="Q30" s="40"/>
      <c r="R30" s="40"/>
      <c r="S30" s="40"/>
    </row>
    <row r="31" spans="1:20" ht="18" customHeight="1" x14ac:dyDescent="0.25">
      <c r="Q31" s="40"/>
      <c r="R31" s="40"/>
      <c r="S31" s="40"/>
    </row>
    <row r="32" spans="1:20" ht="18" customHeight="1" x14ac:dyDescent="0.25">
      <c r="A32" s="11" t="s">
        <v>62</v>
      </c>
      <c r="Q32" s="40"/>
      <c r="R32" s="40"/>
      <c r="S32" s="40"/>
    </row>
    <row r="33" spans="1:19" ht="18" customHeight="1" x14ac:dyDescent="0.25">
      <c r="Q33" s="40"/>
      <c r="R33" s="40"/>
      <c r="S33" s="40"/>
    </row>
    <row r="34" spans="1:19" ht="18" customHeight="1" x14ac:dyDescent="0.25">
      <c r="Q34" s="40"/>
      <c r="R34" s="40"/>
      <c r="S34" s="40"/>
    </row>
    <row r="35" spans="1:19" ht="18" customHeight="1" x14ac:dyDescent="0.25">
      <c r="Q35" s="40"/>
      <c r="R35" s="40"/>
      <c r="S35" s="40"/>
    </row>
    <row r="36" spans="1:19" ht="18" customHeight="1" x14ac:dyDescent="0.25">
      <c r="A36" s="41" t="s">
        <v>175</v>
      </c>
      <c r="Q36" s="40"/>
      <c r="R36" s="40"/>
      <c r="S36" s="40"/>
    </row>
    <row r="37" spans="1:19" ht="18" customHeight="1" x14ac:dyDescent="0.25">
      <c r="A37" s="40"/>
      <c r="Q37" s="40"/>
      <c r="R37" s="40"/>
      <c r="S37" s="40"/>
    </row>
    <row r="38" spans="1:19" ht="18" customHeight="1" x14ac:dyDescent="0.25">
      <c r="Q38" s="40"/>
      <c r="R38" s="40"/>
      <c r="S38" s="40"/>
    </row>
    <row r="39" spans="1:19" ht="18" customHeight="1" x14ac:dyDescent="0.25">
      <c r="Q39" s="40"/>
      <c r="R39" s="40"/>
      <c r="S39" s="40"/>
    </row>
    <row r="40" spans="1:19" ht="18" customHeight="1" x14ac:dyDescent="0.25">
      <c r="Q40" s="40"/>
      <c r="R40" s="40"/>
      <c r="S40" s="40"/>
    </row>
    <row r="41" spans="1:19" ht="18" customHeight="1" x14ac:dyDescent="0.25"/>
    <row r="42" spans="1:19" ht="18" customHeight="1" x14ac:dyDescent="0.25">
      <c r="A42" s="41" t="s">
        <v>176</v>
      </c>
    </row>
    <row r="43" spans="1:19" ht="18" customHeight="1" x14ac:dyDescent="0.25">
      <c r="A43" s="40"/>
    </row>
    <row r="44" spans="1:19" ht="18" customHeight="1" x14ac:dyDescent="0.25">
      <c r="A44" s="40"/>
    </row>
    <row r="45" spans="1:19" ht="18" customHeight="1" x14ac:dyDescent="0.25"/>
    <row r="46" spans="1:19" ht="18" customHeight="1" x14ac:dyDescent="0.25"/>
    <row r="47" spans="1:19" ht="18" customHeight="1" x14ac:dyDescent="0.25"/>
    <row r="48" spans="1:19" ht="18" customHeight="1" x14ac:dyDescent="0.25"/>
    <row r="49" spans="1:1" ht="18" customHeight="1" x14ac:dyDescent="0.25">
      <c r="A49" s="41" t="s">
        <v>177</v>
      </c>
    </row>
    <row r="50" spans="1:1" ht="18" customHeight="1" x14ac:dyDescent="0.25">
      <c r="A50" s="40"/>
    </row>
    <row r="51" spans="1:1" ht="18" customHeight="1" x14ac:dyDescent="0.25"/>
    <row r="52" spans="1:1" ht="18" customHeight="1" x14ac:dyDescent="0.25"/>
    <row r="53" spans="1:1" ht="18" customHeight="1" x14ac:dyDescent="0.25"/>
    <row r="54" spans="1:1" ht="18" customHeight="1" x14ac:dyDescent="0.25">
      <c r="A54" s="41" t="s">
        <v>178</v>
      </c>
    </row>
    <row r="55" spans="1:1" ht="18" customHeight="1" x14ac:dyDescent="0.25">
      <c r="A55" s="40"/>
    </row>
    <row r="56" spans="1:1" ht="18" customHeight="1" x14ac:dyDescent="0.25"/>
    <row r="57" spans="1:1" ht="18" customHeight="1" x14ac:dyDescent="0.25"/>
    <row r="58" spans="1:1" ht="18" customHeight="1" x14ac:dyDescent="0.25"/>
    <row r="59" spans="1:1" ht="18" customHeight="1" x14ac:dyDescent="0.25"/>
    <row r="60" spans="1:1" ht="18" customHeight="1" x14ac:dyDescent="0.25"/>
    <row r="61" spans="1:1" ht="18" customHeight="1" x14ac:dyDescent="0.25"/>
    <row r="62" spans="1:1" ht="18" customHeight="1" x14ac:dyDescent="0.25"/>
    <row r="63" spans="1:1" ht="18" customHeight="1" x14ac:dyDescent="0.25"/>
    <row r="64" spans="1: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</sheetData>
  <mergeCells count="10">
    <mergeCell ref="A49:A50"/>
    <mergeCell ref="A54:A55"/>
    <mergeCell ref="Q24:S24"/>
    <mergeCell ref="Q25:S40"/>
    <mergeCell ref="A4:A8"/>
    <mergeCell ref="A10:A18"/>
    <mergeCell ref="A20:A24"/>
    <mergeCell ref="A26:A27"/>
    <mergeCell ref="A36:A37"/>
    <mergeCell ref="A42:A44"/>
  </mergeCells>
  <conditionalFormatting sqref="N4:N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{13B51F72-DEB9-48A2-AD29-4384F12D4423}</x14:id>
        </ext>
      </extLst>
    </cfRule>
  </conditionalFormatting>
  <conditionalFormatting sqref="O4:O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{3B842BD7-17A7-4B0F-A7E5-05D5C8087C22}</x14:id>
        </ext>
      </extLst>
    </cfRule>
  </conditionalFormatting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B51F72-DEB9-48A2-AD29-4384F12D4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N4:N14</xm:sqref>
        </x14:conditionalFormatting>
        <x14:conditionalFormatting xmlns:xm="http://schemas.microsoft.com/office/excel/2006/main">
          <x14:cfRule type="dataBar" id="{3B842BD7-17A7-4B0F-A7E5-05D5C8087C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O4:O14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642F-EB30-4572-A6B6-CDC3CD69447C}">
  <dimension ref="A1:T80"/>
  <sheetViews>
    <sheetView workbookViewId="0">
      <pane ySplit="3" topLeftCell="A4" activePane="bottomLeft" state="frozenSplit"/>
      <selection pane="bottomLeft" activeCell="M4" sqref="M4:M24"/>
    </sheetView>
  </sheetViews>
  <sheetFormatPr defaultRowHeight="14.3" x14ac:dyDescent="0.25"/>
  <cols>
    <col min="1" max="1" width="54.625" customWidth="1"/>
    <col min="2" max="2" width="2.625" customWidth="1"/>
    <col min="3" max="3" width="30.625" customWidth="1"/>
    <col min="4" max="5" width="12.625" customWidth="1"/>
    <col min="6" max="6" width="2.625" customWidth="1"/>
    <col min="7" max="7" width="40.625" customWidth="1"/>
    <col min="8" max="9" width="13.625" customWidth="1"/>
    <col min="10" max="10" width="2.625" customWidth="1"/>
    <col min="11" max="11" width="9.625" customWidth="1"/>
    <col min="12" max="12" width="13.625" customWidth="1"/>
    <col min="13" max="13" width="15.625" customWidth="1"/>
    <col min="14" max="15" width="13.625" customWidth="1"/>
    <col min="16" max="16" width="2.625" customWidth="1"/>
    <col min="17" max="17" width="60.625" customWidth="1"/>
    <col min="18" max="18" width="13.625" customWidth="1"/>
    <col min="19" max="19" width="50.625" customWidth="1"/>
    <col min="20" max="20" width="13.625" customWidth="1"/>
  </cols>
  <sheetData>
    <row r="1" spans="1:20" ht="19.05" x14ac:dyDescent="0.25">
      <c r="A1" s="1" t="s">
        <v>219</v>
      </c>
    </row>
    <row r="2" spans="1:20" x14ac:dyDescent="0.25">
      <c r="A2" s="2" t="s">
        <v>220</v>
      </c>
    </row>
    <row r="3" spans="1:20" ht="31.95" customHeight="1" x14ac:dyDescent="0.25">
      <c r="A3" s="3" t="s">
        <v>40</v>
      </c>
      <c r="C3" s="3" t="s">
        <v>107</v>
      </c>
      <c r="D3" s="3" t="s">
        <v>108</v>
      </c>
      <c r="G3" s="3" t="s">
        <v>44</v>
      </c>
      <c r="H3" s="3" t="s">
        <v>45</v>
      </c>
      <c r="K3" s="11" t="s">
        <v>179</v>
      </c>
      <c r="L3" s="11" t="s">
        <v>180</v>
      </c>
      <c r="M3" s="11" t="s">
        <v>181</v>
      </c>
      <c r="N3" s="11" t="s">
        <v>182</v>
      </c>
      <c r="Q3" s="11" t="s">
        <v>46</v>
      </c>
      <c r="R3" s="11" t="s">
        <v>45</v>
      </c>
      <c r="S3" s="11" t="s">
        <v>47</v>
      </c>
      <c r="T3" s="11" t="s">
        <v>48</v>
      </c>
    </row>
    <row r="4" spans="1:20" ht="18" customHeight="1" x14ac:dyDescent="0.25">
      <c r="A4" s="40" t="s">
        <v>224</v>
      </c>
      <c r="C4" t="s">
        <v>221</v>
      </c>
      <c r="D4">
        <v>20</v>
      </c>
      <c r="G4" s="4" t="s">
        <v>171</v>
      </c>
      <c r="H4" s="27"/>
      <c r="K4" s="30">
        <f>0</f>
        <v>0</v>
      </c>
      <c r="L4" s="30">
        <f t="shared" ref="L4:L24" si="0">COMBIN($D$4,K4)</f>
        <v>1</v>
      </c>
      <c r="M4" s="31">
        <f t="shared" ref="M4:M24" si="1">$D$5^K4*(1-$D$5)^($D$4-K4)</f>
        <v>9.5367431640625E-7</v>
      </c>
      <c r="N4" s="32">
        <f t="shared" ref="N4:N24" si="2">L4*M4</f>
        <v>9.5367431640625E-7</v>
      </c>
      <c r="O4" s="17"/>
      <c r="Q4" s="14" t="s">
        <v>231</v>
      </c>
    </row>
    <row r="5" spans="1:20" ht="18" customHeight="1" x14ac:dyDescent="0.25">
      <c r="A5" s="40"/>
      <c r="C5" t="s">
        <v>222</v>
      </c>
      <c r="D5" s="36">
        <v>0.5</v>
      </c>
      <c r="G5" s="4" t="s">
        <v>172</v>
      </c>
      <c r="H5" s="13"/>
      <c r="K5" s="30">
        <f>1</f>
        <v>1</v>
      </c>
      <c r="L5" s="30">
        <f t="shared" si="0"/>
        <v>20</v>
      </c>
      <c r="M5" s="31">
        <f t="shared" si="1"/>
        <v>9.5367431640625E-7</v>
      </c>
      <c r="N5" s="32">
        <f t="shared" si="2"/>
        <v>1.9073486328125E-5</v>
      </c>
      <c r="O5" s="17"/>
      <c r="Q5" s="5" t="s">
        <v>232</v>
      </c>
      <c r="R5" s="33">
        <f>$D$4*$D$5</f>
        <v>10</v>
      </c>
      <c r="S5" s="5" t="s">
        <v>129</v>
      </c>
    </row>
    <row r="6" spans="1:20" ht="18" customHeight="1" x14ac:dyDescent="0.25">
      <c r="A6" s="40"/>
      <c r="C6" t="s">
        <v>223</v>
      </c>
      <c r="D6">
        <v>11</v>
      </c>
      <c r="G6" s="4" t="s">
        <v>227</v>
      </c>
      <c r="H6" s="28"/>
      <c r="K6" s="30">
        <f>2</f>
        <v>2</v>
      </c>
      <c r="L6" s="30">
        <f t="shared" si="0"/>
        <v>190</v>
      </c>
      <c r="M6" s="31">
        <f t="shared" si="1"/>
        <v>9.5367431640625E-7</v>
      </c>
      <c r="N6" s="32">
        <f t="shared" si="2"/>
        <v>1.811981201171875E-4</v>
      </c>
      <c r="O6" s="17"/>
      <c r="Q6" s="5" t="s">
        <v>233</v>
      </c>
      <c r="R6" s="24">
        <f>SQRT($D$4*$D$5*(1-$D$5))</f>
        <v>2.2360679774997898</v>
      </c>
      <c r="S6" s="5" t="s">
        <v>234</v>
      </c>
    </row>
    <row r="7" spans="1:20" ht="18" customHeight="1" x14ac:dyDescent="0.25">
      <c r="A7" s="40"/>
      <c r="G7" s="4" t="s">
        <v>228</v>
      </c>
      <c r="H7" s="28"/>
      <c r="K7" s="30">
        <f>3</f>
        <v>3</v>
      </c>
      <c r="L7" s="30">
        <f t="shared" si="0"/>
        <v>1140</v>
      </c>
      <c r="M7" s="31">
        <f t="shared" si="1"/>
        <v>9.5367431640625E-7</v>
      </c>
      <c r="N7" s="32">
        <f t="shared" si="2"/>
        <v>1.087188720703125E-3</v>
      </c>
      <c r="O7" s="17"/>
      <c r="Q7" s="5" t="s">
        <v>235</v>
      </c>
      <c r="R7" s="24">
        <f>($D$6-$R$5)/$R$6</f>
        <v>0.44721359549995793</v>
      </c>
      <c r="S7" s="5" t="s">
        <v>236</v>
      </c>
    </row>
    <row r="8" spans="1:20" ht="18" customHeight="1" x14ac:dyDescent="0.25">
      <c r="A8" s="40"/>
      <c r="K8" s="30">
        <f>4</f>
        <v>4</v>
      </c>
      <c r="L8" s="30">
        <f t="shared" si="0"/>
        <v>4845</v>
      </c>
      <c r="M8" s="31">
        <f t="shared" si="1"/>
        <v>9.5367431640625E-7</v>
      </c>
      <c r="N8" s="32">
        <f t="shared" si="2"/>
        <v>4.6205520629882813E-3</v>
      </c>
      <c r="O8" s="17"/>
      <c r="Q8" s="14" t="s">
        <v>237</v>
      </c>
    </row>
    <row r="9" spans="1:20" ht="18" customHeight="1" x14ac:dyDescent="0.25">
      <c r="K9" s="30">
        <f>5</f>
        <v>5</v>
      </c>
      <c r="L9" s="30">
        <f t="shared" si="0"/>
        <v>15503.999999999998</v>
      </c>
      <c r="M9" s="31">
        <f t="shared" si="1"/>
        <v>9.5367431640625E-7</v>
      </c>
      <c r="N9" s="32">
        <f t="shared" si="2"/>
        <v>1.4785766601562498E-2</v>
      </c>
      <c r="O9" s="17"/>
      <c r="Q9" s="5" t="s">
        <v>238</v>
      </c>
      <c r="R9" s="34">
        <f>COMBIN($D$4,$D$6)</f>
        <v>167960</v>
      </c>
      <c r="S9" s="5" t="s">
        <v>239</v>
      </c>
    </row>
    <row r="10" spans="1:20" ht="18" customHeight="1" x14ac:dyDescent="0.25">
      <c r="A10" s="40" t="s">
        <v>225</v>
      </c>
      <c r="K10" s="30">
        <f>6</f>
        <v>6</v>
      </c>
      <c r="L10" s="30">
        <f t="shared" si="0"/>
        <v>38760</v>
      </c>
      <c r="M10" s="31">
        <f t="shared" si="1"/>
        <v>9.5367431640625E-7</v>
      </c>
      <c r="N10" s="32">
        <f t="shared" si="2"/>
        <v>3.696441650390625E-2</v>
      </c>
      <c r="O10" s="17"/>
      <c r="Q10" s="5" t="s">
        <v>240</v>
      </c>
      <c r="R10" s="37">
        <f>$D$5^$D$6*(1-$D$5)^($D$4-$D$6)</f>
        <v>9.5367431640625E-7</v>
      </c>
      <c r="S10" s="5" t="s">
        <v>241</v>
      </c>
    </row>
    <row r="11" spans="1:20" ht="18" customHeight="1" x14ac:dyDescent="0.25">
      <c r="A11" s="40"/>
      <c r="K11" s="30">
        <f>7</f>
        <v>7</v>
      </c>
      <c r="L11" s="30">
        <f t="shared" si="0"/>
        <v>77520</v>
      </c>
      <c r="M11" s="31">
        <f t="shared" si="1"/>
        <v>9.5367431640625E-7</v>
      </c>
      <c r="N11" s="32">
        <f t="shared" si="2"/>
        <v>7.39288330078125E-2</v>
      </c>
      <c r="O11" s="17"/>
      <c r="Q11" s="5" t="s">
        <v>242</v>
      </c>
      <c r="R11" s="16">
        <f>$R$9*$R$10</f>
        <v>0.16017913818359375</v>
      </c>
      <c r="S11" s="5" t="s">
        <v>243</v>
      </c>
    </row>
    <row r="12" spans="1:20" ht="18" customHeight="1" x14ac:dyDescent="0.25">
      <c r="A12" s="40"/>
      <c r="K12" s="30">
        <f>8</f>
        <v>8</v>
      </c>
      <c r="L12" s="30">
        <f t="shared" si="0"/>
        <v>125970.00000000001</v>
      </c>
      <c r="M12" s="31">
        <f t="shared" si="1"/>
        <v>9.5367431640625E-7</v>
      </c>
      <c r="N12" s="32">
        <f t="shared" si="2"/>
        <v>0.12013435363769533</v>
      </c>
      <c r="O12" s="17"/>
      <c r="Q12" s="5" t="s">
        <v>244</v>
      </c>
      <c r="R12" s="16">
        <f>SUMIF($K$4:$K$24,"&gt;="&amp;$D$6,$N$4:$N$24)</f>
        <v>0.41190147399902344</v>
      </c>
      <c r="S12" s="5" t="s">
        <v>245</v>
      </c>
    </row>
    <row r="13" spans="1:20" ht="18" customHeight="1" x14ac:dyDescent="0.25">
      <c r="A13" s="40"/>
      <c r="K13" s="30">
        <f>9</f>
        <v>9</v>
      </c>
      <c r="L13" s="30">
        <f t="shared" si="0"/>
        <v>167960</v>
      </c>
      <c r="M13" s="31">
        <f t="shared" si="1"/>
        <v>9.5367431640625E-7</v>
      </c>
      <c r="N13" s="32">
        <f t="shared" si="2"/>
        <v>0.16017913818359375</v>
      </c>
      <c r="O13" s="17"/>
      <c r="Q13" s="5" t="s">
        <v>246</v>
      </c>
      <c r="R13" s="16">
        <f>SUM($N$4:$N$24)</f>
        <v>1</v>
      </c>
      <c r="S13" s="5" t="s">
        <v>247</v>
      </c>
    </row>
    <row r="14" spans="1:20" ht="18" customHeight="1" x14ac:dyDescent="0.25">
      <c r="A14" s="40"/>
      <c r="K14" s="30">
        <f>10</f>
        <v>10</v>
      </c>
      <c r="L14" s="30">
        <f t="shared" si="0"/>
        <v>184756</v>
      </c>
      <c r="M14" s="31">
        <f t="shared" si="1"/>
        <v>9.5367431640625E-7</v>
      </c>
      <c r="N14" s="32">
        <f t="shared" si="2"/>
        <v>0.17619705200195313</v>
      </c>
      <c r="O14" s="17"/>
      <c r="Q14" s="14" t="s">
        <v>207</v>
      </c>
    </row>
    <row r="15" spans="1:20" ht="18" customHeight="1" x14ac:dyDescent="0.25">
      <c r="A15" s="40"/>
      <c r="K15" s="30">
        <f>11</f>
        <v>11</v>
      </c>
      <c r="L15" s="30">
        <f t="shared" si="0"/>
        <v>167960</v>
      </c>
      <c r="M15" s="31">
        <f t="shared" si="1"/>
        <v>9.5367431640625E-7</v>
      </c>
      <c r="N15" s="32">
        <f t="shared" si="2"/>
        <v>0.16017913818359375</v>
      </c>
      <c r="O15" s="17"/>
      <c r="Q15" s="5" t="s">
        <v>248</v>
      </c>
      <c r="R15" s="18">
        <f>_xlfn.BINOM.DIST($D$6,$D$4,$D$5,FALSE)</f>
        <v>0.16017913818359369</v>
      </c>
      <c r="S15" s="5" t="s">
        <v>249</v>
      </c>
      <c r="T15" s="19" t="str">
        <f>IF(ABS(R15-$R$11)&lt;0.000001,"ano","ne")</f>
        <v>ano</v>
      </c>
    </row>
    <row r="16" spans="1:20" ht="18" customHeight="1" x14ac:dyDescent="0.25">
      <c r="K16" s="30">
        <f>12</f>
        <v>12</v>
      </c>
      <c r="L16" s="30">
        <f t="shared" si="0"/>
        <v>125970.00000000001</v>
      </c>
      <c r="M16" s="31">
        <f t="shared" si="1"/>
        <v>9.5367431640625E-7</v>
      </c>
      <c r="N16" s="32">
        <f t="shared" si="2"/>
        <v>0.12013435363769533</v>
      </c>
      <c r="O16" s="17"/>
      <c r="Q16" s="5" t="s">
        <v>250</v>
      </c>
      <c r="R16" s="18">
        <f>SUMIF($K$4:$K$24,$D$6,$N$4:$N$24)</f>
        <v>0.16017913818359375</v>
      </c>
      <c r="S16" s="5" t="s">
        <v>251</v>
      </c>
      <c r="T16" s="19" t="str">
        <f>IF(ABS(R16-$R$11)&lt;0.000001,"ano","ne")</f>
        <v>ano</v>
      </c>
    </row>
    <row r="17" spans="1:20" ht="18" customHeight="1" x14ac:dyDescent="0.25">
      <c r="A17" s="43" t="s">
        <v>53</v>
      </c>
      <c r="K17" s="30">
        <f>13</f>
        <v>13</v>
      </c>
      <c r="L17" s="30">
        <f t="shared" si="0"/>
        <v>77520</v>
      </c>
      <c r="M17" s="31">
        <f t="shared" si="1"/>
        <v>9.5367431640625E-7</v>
      </c>
      <c r="N17" s="32">
        <f t="shared" si="2"/>
        <v>7.39288330078125E-2</v>
      </c>
      <c r="O17" s="17"/>
      <c r="Q17" s="5" t="s">
        <v>252</v>
      </c>
      <c r="R17" s="18">
        <f>1-_xlfn.BINOM.DIST($D$6-1,$D$4,$D$5,TRUE)</f>
        <v>0.41190147399902344</v>
      </c>
      <c r="S17" s="5" t="s">
        <v>253</v>
      </c>
      <c r="T17" s="19" t="str">
        <f>IF(ABS(R17-$R$12)&lt;0.000001,"ano","ne")</f>
        <v>ano</v>
      </c>
    </row>
    <row r="18" spans="1:20" ht="18" customHeight="1" x14ac:dyDescent="0.25">
      <c r="A18" s="40"/>
      <c r="K18" s="30">
        <f>14</f>
        <v>14</v>
      </c>
      <c r="L18" s="30">
        <f t="shared" si="0"/>
        <v>38760</v>
      </c>
      <c r="M18" s="31">
        <f t="shared" si="1"/>
        <v>9.5367431640625E-7</v>
      </c>
      <c r="N18" s="32">
        <f t="shared" si="2"/>
        <v>3.696441650390625E-2</v>
      </c>
      <c r="O18" s="17"/>
      <c r="Q18" s="5" t="s">
        <v>254</v>
      </c>
      <c r="R18" s="18">
        <f>_xlfn.BINOM.DIST.RANGE($D$4,$D$5,$D$6,$D$4)</f>
        <v>0.41190147399902344</v>
      </c>
      <c r="S18" s="5" t="s">
        <v>255</v>
      </c>
      <c r="T18" s="19" t="str">
        <f>IF(ABS(R18-$R$12)&lt;0.000001,"ano","ne")</f>
        <v>ano</v>
      </c>
    </row>
    <row r="19" spans="1:20" ht="18" customHeight="1" x14ac:dyDescent="0.25">
      <c r="A19" s="40"/>
      <c r="K19" s="30">
        <f>15</f>
        <v>15</v>
      </c>
      <c r="L19" s="30">
        <f t="shared" si="0"/>
        <v>15503.999999999998</v>
      </c>
      <c r="M19" s="31">
        <f t="shared" si="1"/>
        <v>9.5367431640625E-7</v>
      </c>
      <c r="N19" s="32">
        <f t="shared" si="2"/>
        <v>1.4785766601562498E-2</v>
      </c>
      <c r="O19" s="17"/>
    </row>
    <row r="20" spans="1:20" ht="18" customHeight="1" x14ac:dyDescent="0.25">
      <c r="A20" s="40"/>
      <c r="K20" s="30">
        <f>16</f>
        <v>16</v>
      </c>
      <c r="L20" s="30">
        <f t="shared" si="0"/>
        <v>4845</v>
      </c>
      <c r="M20" s="31">
        <f t="shared" si="1"/>
        <v>9.5367431640625E-7</v>
      </c>
      <c r="N20" s="32">
        <f t="shared" si="2"/>
        <v>4.6205520629882813E-3</v>
      </c>
      <c r="O20" s="17"/>
      <c r="Q20" s="42" t="s">
        <v>103</v>
      </c>
      <c r="R20" s="42"/>
      <c r="S20" s="42"/>
    </row>
    <row r="21" spans="1:20" ht="18" customHeight="1" x14ac:dyDescent="0.25">
      <c r="A21" s="40"/>
      <c r="K21" s="30">
        <f>17</f>
        <v>17</v>
      </c>
      <c r="L21" s="30">
        <f t="shared" si="0"/>
        <v>1140</v>
      </c>
      <c r="M21" s="31">
        <f t="shared" si="1"/>
        <v>9.5367431640625E-7</v>
      </c>
      <c r="N21" s="32">
        <f t="shared" si="2"/>
        <v>1.087188720703125E-3</v>
      </c>
      <c r="O21" s="17"/>
      <c r="Q21" s="40" t="s">
        <v>256</v>
      </c>
      <c r="R21" s="40"/>
      <c r="S21" s="40"/>
    </row>
    <row r="22" spans="1:20" ht="18" customHeight="1" x14ac:dyDescent="0.25">
      <c r="K22" s="30">
        <f>18</f>
        <v>18</v>
      </c>
      <c r="L22" s="30">
        <f t="shared" si="0"/>
        <v>190</v>
      </c>
      <c r="M22" s="31">
        <f t="shared" si="1"/>
        <v>9.5367431640625E-7</v>
      </c>
      <c r="N22" s="32">
        <f t="shared" si="2"/>
        <v>1.811981201171875E-4</v>
      </c>
      <c r="O22" s="17"/>
      <c r="Q22" s="40"/>
      <c r="R22" s="40"/>
      <c r="S22" s="40"/>
    </row>
    <row r="23" spans="1:20" ht="18" customHeight="1" x14ac:dyDescent="0.25">
      <c r="A23" s="41" t="s">
        <v>226</v>
      </c>
      <c r="K23" s="30">
        <f>19</f>
        <v>19</v>
      </c>
      <c r="L23" s="30">
        <f t="shared" si="0"/>
        <v>20</v>
      </c>
      <c r="M23" s="31">
        <f t="shared" si="1"/>
        <v>9.5367431640625E-7</v>
      </c>
      <c r="N23" s="32">
        <f t="shared" si="2"/>
        <v>1.9073486328125E-5</v>
      </c>
      <c r="O23" s="17"/>
      <c r="Q23" s="40"/>
      <c r="R23" s="40"/>
      <c r="S23" s="40"/>
    </row>
    <row r="24" spans="1:20" ht="18" customHeight="1" x14ac:dyDescent="0.25">
      <c r="A24" s="40"/>
      <c r="K24" s="30">
        <f>20</f>
        <v>20</v>
      </c>
      <c r="L24" s="30">
        <f t="shared" si="0"/>
        <v>1</v>
      </c>
      <c r="M24" s="31">
        <f t="shared" si="1"/>
        <v>9.5367431640625E-7</v>
      </c>
      <c r="N24" s="32">
        <f t="shared" si="2"/>
        <v>9.5367431640625E-7</v>
      </c>
      <c r="O24" s="17"/>
      <c r="Q24" s="40"/>
      <c r="R24" s="40"/>
      <c r="S24" s="40"/>
    </row>
    <row r="25" spans="1:20" ht="18" customHeight="1" x14ac:dyDescent="0.25">
      <c r="Q25" s="40"/>
      <c r="R25" s="40"/>
      <c r="S25" s="40"/>
    </row>
    <row r="26" spans="1:20" ht="18" customHeight="1" x14ac:dyDescent="0.25">
      <c r="Q26" s="40"/>
      <c r="R26" s="40"/>
      <c r="S26" s="40"/>
    </row>
    <row r="27" spans="1:20" ht="18" customHeight="1" x14ac:dyDescent="0.25">
      <c r="Q27" s="40"/>
      <c r="R27" s="40"/>
      <c r="S27" s="40"/>
    </row>
    <row r="28" spans="1:20" ht="18" customHeight="1" x14ac:dyDescent="0.25">
      <c r="Q28" s="40"/>
      <c r="R28" s="40"/>
      <c r="S28" s="40"/>
    </row>
    <row r="29" spans="1:20" ht="18" customHeight="1" x14ac:dyDescent="0.25">
      <c r="Q29" s="40"/>
      <c r="R29" s="40"/>
      <c r="S29" s="40"/>
    </row>
    <row r="30" spans="1:20" ht="18" customHeight="1" x14ac:dyDescent="0.25">
      <c r="Q30" s="40"/>
      <c r="R30" s="40"/>
      <c r="S30" s="40"/>
    </row>
    <row r="31" spans="1:20" ht="18" customHeight="1" x14ac:dyDescent="0.25">
      <c r="Q31" s="40"/>
      <c r="R31" s="40"/>
      <c r="S31" s="40"/>
    </row>
    <row r="32" spans="1:20" ht="18" customHeight="1" x14ac:dyDescent="0.25">
      <c r="A32" s="11" t="s">
        <v>62</v>
      </c>
      <c r="Q32" s="40"/>
      <c r="R32" s="40"/>
      <c r="S32" s="40"/>
    </row>
    <row r="33" spans="1:19" ht="18" customHeight="1" x14ac:dyDescent="0.25">
      <c r="Q33" s="40"/>
      <c r="R33" s="40"/>
      <c r="S33" s="40"/>
    </row>
    <row r="34" spans="1:19" ht="18" customHeight="1" x14ac:dyDescent="0.25">
      <c r="Q34" s="40"/>
      <c r="R34" s="40"/>
      <c r="S34" s="40"/>
    </row>
    <row r="35" spans="1:19" ht="18" customHeight="1" x14ac:dyDescent="0.25"/>
    <row r="36" spans="1:19" ht="18" customHeight="1" x14ac:dyDescent="0.25">
      <c r="A36" s="41" t="s">
        <v>176</v>
      </c>
    </row>
    <row r="37" spans="1:19" ht="18" customHeight="1" x14ac:dyDescent="0.25">
      <c r="A37" s="40"/>
    </row>
    <row r="38" spans="1:19" ht="18" customHeight="1" x14ac:dyDescent="0.25">
      <c r="A38" s="40"/>
    </row>
    <row r="39" spans="1:19" ht="18" customHeight="1" x14ac:dyDescent="0.25"/>
    <row r="40" spans="1:19" ht="18" customHeight="1" x14ac:dyDescent="0.25"/>
    <row r="41" spans="1:19" ht="18" customHeight="1" x14ac:dyDescent="0.25"/>
    <row r="42" spans="1:19" ht="18" customHeight="1" x14ac:dyDescent="0.25"/>
    <row r="43" spans="1:19" ht="18" customHeight="1" x14ac:dyDescent="0.25">
      <c r="A43" s="12" t="s">
        <v>229</v>
      </c>
    </row>
    <row r="44" spans="1:19" ht="18" customHeight="1" x14ac:dyDescent="0.25"/>
    <row r="45" spans="1:19" ht="18" customHeight="1" x14ac:dyDescent="0.25"/>
    <row r="46" spans="1:19" ht="18" customHeight="1" x14ac:dyDescent="0.25"/>
    <row r="47" spans="1:19" ht="18" customHeight="1" x14ac:dyDescent="0.25">
      <c r="A47" s="41" t="s">
        <v>230</v>
      </c>
    </row>
    <row r="48" spans="1:19" ht="18" customHeight="1" x14ac:dyDescent="0.25">
      <c r="A48" s="40"/>
    </row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</sheetData>
  <mergeCells count="8">
    <mergeCell ref="A36:A38"/>
    <mergeCell ref="A47:A48"/>
    <mergeCell ref="Q20:S20"/>
    <mergeCell ref="Q21:S34"/>
    <mergeCell ref="A4:A8"/>
    <mergeCell ref="A10:A15"/>
    <mergeCell ref="A17:A21"/>
    <mergeCell ref="A23:A24"/>
  </mergeCells>
  <conditionalFormatting sqref="N4:N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{7967EC80-6898-4519-95A4-FF0767744A91}</x14:id>
        </ext>
      </extLst>
    </cfRule>
  </conditionalFormatting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67EC80-6898-4519-95A4-FF0767744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BD8A-1F1F-40CF-A34F-FE4F6B8174E6}">
  <dimension ref="A1:T80"/>
  <sheetViews>
    <sheetView workbookViewId="0">
      <pane ySplit="3" topLeftCell="A4" activePane="bottomLeft" state="frozenSplit"/>
      <selection pane="bottomLeft" activeCell="G18" sqref="G18"/>
    </sheetView>
  </sheetViews>
  <sheetFormatPr defaultRowHeight="14.3" x14ac:dyDescent="0.25"/>
  <cols>
    <col min="1" max="1" width="54.625" customWidth="1"/>
    <col min="2" max="2" width="2.625" customWidth="1"/>
    <col min="3" max="3" width="30.625" customWidth="1"/>
    <col min="4" max="5" width="12.625" customWidth="1"/>
    <col min="6" max="6" width="2.625" customWidth="1"/>
    <col min="7" max="7" width="40.625" customWidth="1"/>
    <col min="8" max="9" width="13.625" customWidth="1"/>
    <col min="10" max="10" width="2.625" customWidth="1"/>
    <col min="11" max="11" width="9.625" customWidth="1"/>
    <col min="12" max="12" width="13.625" customWidth="1"/>
    <col min="13" max="13" width="15.625" customWidth="1"/>
    <col min="14" max="15" width="13.625" customWidth="1"/>
    <col min="16" max="16" width="2.625" customWidth="1"/>
    <col min="17" max="17" width="60.625" customWidth="1"/>
    <col min="18" max="18" width="13.625" customWidth="1"/>
    <col min="19" max="19" width="50.625" customWidth="1"/>
    <col min="20" max="20" width="13.625" customWidth="1"/>
  </cols>
  <sheetData>
    <row r="1" spans="1:20" ht="19.05" x14ac:dyDescent="0.25">
      <c r="A1" s="1" t="s">
        <v>257</v>
      </c>
    </row>
    <row r="2" spans="1:20" x14ac:dyDescent="0.25">
      <c r="A2" s="2" t="s">
        <v>258</v>
      </c>
    </row>
    <row r="3" spans="1:20" ht="31.95" customHeight="1" x14ac:dyDescent="0.25">
      <c r="A3" s="3" t="s">
        <v>40</v>
      </c>
      <c r="C3" s="3" t="s">
        <v>107</v>
      </c>
      <c r="D3" s="3" t="s">
        <v>108</v>
      </c>
      <c r="G3" s="3" t="s">
        <v>44</v>
      </c>
      <c r="H3" s="3" t="s">
        <v>45</v>
      </c>
      <c r="K3" s="11" t="s">
        <v>179</v>
      </c>
      <c r="L3" s="11" t="s">
        <v>180</v>
      </c>
      <c r="M3" s="11" t="s">
        <v>181</v>
      </c>
      <c r="N3" s="11" t="s">
        <v>182</v>
      </c>
      <c r="Q3" s="11" t="s">
        <v>46</v>
      </c>
      <c r="R3" s="11" t="s">
        <v>45</v>
      </c>
      <c r="S3" s="11" t="s">
        <v>47</v>
      </c>
      <c r="T3" s="11" t="s">
        <v>48</v>
      </c>
    </row>
    <row r="4" spans="1:20" ht="18" customHeight="1" x14ac:dyDescent="0.25">
      <c r="A4" s="40" t="s">
        <v>262</v>
      </c>
      <c r="C4" t="s">
        <v>259</v>
      </c>
      <c r="D4">
        <v>30</v>
      </c>
      <c r="G4" s="4" t="s">
        <v>265</v>
      </c>
      <c r="H4" s="38"/>
      <c r="K4" s="30">
        <f>0</f>
        <v>0</v>
      </c>
      <c r="L4" s="30">
        <f t="shared" ref="L4:L34" si="0">COMBIN($D$4,K4)</f>
        <v>1</v>
      </c>
      <c r="M4" s="31">
        <f t="shared" ref="M4:M34" si="1">$D$5^K4*(1-$D$5)^($D$4-K4)</f>
        <v>1.1529215046068505E-12</v>
      </c>
      <c r="N4" s="32">
        <f t="shared" ref="N4:N34" si="2">L4*M4</f>
        <v>1.1529215046068505E-12</v>
      </c>
      <c r="O4" s="17"/>
      <c r="Q4" s="14" t="s">
        <v>275</v>
      </c>
    </row>
    <row r="5" spans="1:20" ht="18" customHeight="1" x14ac:dyDescent="0.25">
      <c r="A5" s="40"/>
      <c r="C5" t="s">
        <v>260</v>
      </c>
      <c r="D5" s="36">
        <v>0.6</v>
      </c>
      <c r="G5" s="4" t="s">
        <v>266</v>
      </c>
      <c r="H5" s="13"/>
      <c r="K5" s="30">
        <f>1</f>
        <v>1</v>
      </c>
      <c r="L5" s="30">
        <f t="shared" si="0"/>
        <v>30</v>
      </c>
      <c r="M5" s="31">
        <f t="shared" si="1"/>
        <v>1.7293822569102759E-12</v>
      </c>
      <c r="N5" s="32">
        <f t="shared" si="2"/>
        <v>5.1881467707308273E-11</v>
      </c>
      <c r="O5" s="17"/>
      <c r="Q5" s="5" t="s">
        <v>276</v>
      </c>
      <c r="R5" s="39">
        <f>$D$4*$D$5</f>
        <v>18</v>
      </c>
      <c r="S5" s="5" t="s">
        <v>129</v>
      </c>
    </row>
    <row r="6" spans="1:20" ht="18" customHeight="1" x14ac:dyDescent="0.25">
      <c r="A6" s="40"/>
      <c r="C6" t="s">
        <v>261</v>
      </c>
      <c r="D6">
        <v>22</v>
      </c>
      <c r="G6" s="4" t="s">
        <v>267</v>
      </c>
      <c r="H6" s="13"/>
      <c r="K6" s="30">
        <f>2</f>
        <v>2</v>
      </c>
      <c r="L6" s="30">
        <f t="shared" si="0"/>
        <v>435</v>
      </c>
      <c r="M6" s="31">
        <f t="shared" si="1"/>
        <v>2.5940733853654136E-12</v>
      </c>
      <c r="N6" s="32">
        <f t="shared" si="2"/>
        <v>1.1284219226339548E-9</v>
      </c>
      <c r="O6" s="17"/>
      <c r="Q6" s="5" t="s">
        <v>277</v>
      </c>
      <c r="R6" s="39">
        <f>$D$4*(1-$D$5)</f>
        <v>12</v>
      </c>
      <c r="S6" s="5" t="s">
        <v>278</v>
      </c>
    </row>
    <row r="7" spans="1:20" ht="18" customHeight="1" x14ac:dyDescent="0.25">
      <c r="A7" s="40"/>
      <c r="G7" s="4" t="s">
        <v>268</v>
      </c>
      <c r="H7" s="28"/>
      <c r="K7" s="30">
        <f>3</f>
        <v>3</v>
      </c>
      <c r="L7" s="30">
        <f t="shared" si="0"/>
        <v>4059.9999999999995</v>
      </c>
      <c r="M7" s="31">
        <f t="shared" si="1"/>
        <v>3.8911100780481194E-12</v>
      </c>
      <c r="N7" s="32">
        <f t="shared" si="2"/>
        <v>1.5797906916875363E-8</v>
      </c>
      <c r="O7" s="17"/>
      <c r="Q7" s="5" t="s">
        <v>279</v>
      </c>
      <c r="R7" s="34">
        <f>IF(AND($R$5&gt;=10,$R$6&gt;=10),1,0)</f>
        <v>1</v>
      </c>
      <c r="S7" s="5" t="s">
        <v>280</v>
      </c>
    </row>
    <row r="8" spans="1:20" ht="18" customHeight="1" x14ac:dyDescent="0.25">
      <c r="A8" s="40"/>
      <c r="G8" s="4" t="s">
        <v>269</v>
      </c>
      <c r="H8" s="28"/>
      <c r="K8" s="30">
        <f>4</f>
        <v>4</v>
      </c>
      <c r="L8" s="30">
        <f t="shared" si="0"/>
        <v>27405.000000000004</v>
      </c>
      <c r="M8" s="31">
        <f t="shared" si="1"/>
        <v>5.8366651170721782E-12</v>
      </c>
      <c r="N8" s="32">
        <f t="shared" si="2"/>
        <v>1.5995380753336306E-7</v>
      </c>
      <c r="O8" s="17"/>
      <c r="Q8" s="14" t="s">
        <v>281</v>
      </c>
    </row>
    <row r="9" spans="1:20" ht="18" customHeight="1" x14ac:dyDescent="0.25">
      <c r="G9" s="4" t="s">
        <v>270</v>
      </c>
      <c r="H9" s="13"/>
      <c r="K9" s="30">
        <f>5</f>
        <v>5</v>
      </c>
      <c r="L9" s="30">
        <f t="shared" si="0"/>
        <v>142506</v>
      </c>
      <c r="M9" s="31">
        <f t="shared" si="1"/>
        <v>8.7549976756082662E-12</v>
      </c>
      <c r="N9" s="32">
        <f t="shared" si="2"/>
        <v>1.2476396987602315E-6</v>
      </c>
      <c r="O9" s="17"/>
      <c r="Q9" s="5" t="s">
        <v>282</v>
      </c>
      <c r="R9" s="33">
        <f>$R$5</f>
        <v>18</v>
      </c>
      <c r="S9" s="5" t="s">
        <v>283</v>
      </c>
    </row>
    <row r="10" spans="1:20" ht="18" customHeight="1" x14ac:dyDescent="0.25">
      <c r="A10" s="40" t="s">
        <v>263</v>
      </c>
      <c r="K10" s="30">
        <f>6</f>
        <v>6</v>
      </c>
      <c r="L10" s="30">
        <f t="shared" si="0"/>
        <v>593774.99999999988</v>
      </c>
      <c r="M10" s="31">
        <f t="shared" si="1"/>
        <v>1.3132496513412398E-11</v>
      </c>
      <c r="N10" s="32">
        <f t="shared" si="2"/>
        <v>7.797748117251445E-6</v>
      </c>
      <c r="O10" s="17"/>
      <c r="Q10" s="5" t="s">
        <v>284</v>
      </c>
      <c r="R10" s="16">
        <f>SQRT($D$4*$D$5*(1-$D$5))</f>
        <v>2.6832815729997477</v>
      </c>
      <c r="S10" s="5" t="s">
        <v>234</v>
      </c>
    </row>
    <row r="11" spans="1:20" ht="18" customHeight="1" x14ac:dyDescent="0.25">
      <c r="A11" s="40"/>
      <c r="K11" s="30">
        <f>7</f>
        <v>7</v>
      </c>
      <c r="L11" s="30">
        <f t="shared" si="0"/>
        <v>2035800.0000000005</v>
      </c>
      <c r="M11" s="31">
        <f t="shared" si="1"/>
        <v>1.9698744770118594E-11</v>
      </c>
      <c r="N11" s="32">
        <f t="shared" si="2"/>
        <v>4.0102704603007447E-5</v>
      </c>
      <c r="O11" s="17"/>
      <c r="Q11" s="5" t="s">
        <v>285</v>
      </c>
      <c r="R11" s="16">
        <f>($D$6-$R$9)/$R$10</f>
        <v>1.4907119849998598</v>
      </c>
      <c r="S11" s="5" t="s">
        <v>286</v>
      </c>
    </row>
    <row r="12" spans="1:20" ht="18" customHeight="1" x14ac:dyDescent="0.25">
      <c r="A12" s="40"/>
      <c r="K12" s="30">
        <f>8</f>
        <v>8</v>
      </c>
      <c r="L12" s="30">
        <f t="shared" si="0"/>
        <v>5852925</v>
      </c>
      <c r="M12" s="31">
        <f t="shared" si="1"/>
        <v>2.954811715517789E-11</v>
      </c>
      <c r="N12" s="32">
        <f t="shared" si="2"/>
        <v>1.7294291360046954E-4</v>
      </c>
      <c r="O12" s="17"/>
      <c r="Q12" s="5" t="s">
        <v>287</v>
      </c>
      <c r="R12" s="16">
        <f>1-_xlfn.NORM.S.DIST($R$11,TRUE)</f>
        <v>6.8018564057071851E-2</v>
      </c>
      <c r="S12" s="5" t="s">
        <v>288</v>
      </c>
    </row>
    <row r="13" spans="1:20" ht="18" customHeight="1" x14ac:dyDescent="0.25">
      <c r="A13" s="40"/>
      <c r="K13" s="30">
        <f>9</f>
        <v>9</v>
      </c>
      <c r="L13" s="30">
        <f t="shared" si="0"/>
        <v>14307150.000000004</v>
      </c>
      <c r="M13" s="31">
        <f t="shared" si="1"/>
        <v>4.4322175732766835E-11</v>
      </c>
      <c r="N13" s="32">
        <f t="shared" si="2"/>
        <v>6.3412401653505524E-4</v>
      </c>
      <c r="O13" s="17"/>
      <c r="Q13" s="5" t="s">
        <v>289</v>
      </c>
      <c r="R13" s="16">
        <f>($D$6-0.5-$R$9)/$R$10</f>
        <v>1.3043729868748772</v>
      </c>
      <c r="S13" s="5" t="s">
        <v>290</v>
      </c>
    </row>
    <row r="14" spans="1:20" ht="18" customHeight="1" x14ac:dyDescent="0.25">
      <c r="A14" s="40"/>
      <c r="K14" s="30">
        <f>10</f>
        <v>10</v>
      </c>
      <c r="L14" s="30">
        <f t="shared" si="0"/>
        <v>30045015</v>
      </c>
      <c r="M14" s="31">
        <f t="shared" si="1"/>
        <v>6.6483263599150236E-11</v>
      </c>
      <c r="N14" s="32">
        <f t="shared" si="2"/>
        <v>1.9974906520854228E-3</v>
      </c>
      <c r="O14" s="17"/>
      <c r="Q14" s="5" t="s">
        <v>291</v>
      </c>
      <c r="R14" s="16">
        <f>1-_xlfn.NORM.S.DIST($R$13,TRUE)</f>
        <v>9.6053220433971132E-2</v>
      </c>
      <c r="S14" s="5" t="s">
        <v>292</v>
      </c>
    </row>
    <row r="15" spans="1:20" ht="18" customHeight="1" x14ac:dyDescent="0.25">
      <c r="A15" s="40"/>
      <c r="K15" s="30">
        <f>11</f>
        <v>11</v>
      </c>
      <c r="L15" s="30">
        <f t="shared" si="0"/>
        <v>54627299.999999978</v>
      </c>
      <c r="M15" s="31">
        <f t="shared" si="1"/>
        <v>9.9724895398725335E-11</v>
      </c>
      <c r="N15" s="32">
        <f t="shared" si="2"/>
        <v>5.4477017784147859E-3</v>
      </c>
      <c r="O15" s="17"/>
      <c r="Q15" s="14" t="s">
        <v>293</v>
      </c>
    </row>
    <row r="16" spans="1:20" ht="18" customHeight="1" x14ac:dyDescent="0.25">
      <c r="A16" s="40"/>
      <c r="K16" s="30">
        <f>12</f>
        <v>12</v>
      </c>
      <c r="L16" s="30">
        <f t="shared" si="0"/>
        <v>86493225.000000015</v>
      </c>
      <c r="M16" s="31">
        <f t="shared" si="1"/>
        <v>1.4958734309808798E-10</v>
      </c>
      <c r="N16" s="32">
        <f t="shared" si="2"/>
        <v>1.2938291723735123E-2</v>
      </c>
      <c r="O16" s="17"/>
      <c r="Q16" s="5" t="s">
        <v>294</v>
      </c>
      <c r="R16" s="16">
        <f>SUMIF($K$4:$K$34,"&gt;="&amp;$D$6,$N$4:$N$34)</f>
        <v>9.4011215830095168E-2</v>
      </c>
      <c r="S16" s="5" t="s">
        <v>295</v>
      </c>
    </row>
    <row r="17" spans="1:20" ht="18" customHeight="1" x14ac:dyDescent="0.25">
      <c r="A17" s="40"/>
      <c r="K17" s="30">
        <f>13</f>
        <v>13</v>
      </c>
      <c r="L17" s="30">
        <f t="shared" si="0"/>
        <v>119759850</v>
      </c>
      <c r="M17" s="31">
        <f t="shared" si="1"/>
        <v>2.2438101464713197E-10</v>
      </c>
      <c r="N17" s="32">
        <f t="shared" si="2"/>
        <v>2.6871836656988328E-2</v>
      </c>
      <c r="O17" s="17"/>
      <c r="Q17" s="14" t="s">
        <v>296</v>
      </c>
    </row>
    <row r="18" spans="1:20" ht="18" customHeight="1" x14ac:dyDescent="0.25">
      <c r="A18" s="40"/>
      <c r="K18" s="30">
        <f>14</f>
        <v>14</v>
      </c>
      <c r="L18" s="30">
        <f t="shared" si="0"/>
        <v>145422675</v>
      </c>
      <c r="M18" s="31">
        <f t="shared" si="1"/>
        <v>3.365715219706979E-10</v>
      </c>
      <c r="N18" s="32">
        <f t="shared" si="2"/>
        <v>4.8945131053800162E-2</v>
      </c>
      <c r="O18" s="17"/>
      <c r="Q18" s="5" t="s">
        <v>297</v>
      </c>
      <c r="R18" s="16">
        <f>$D$6/$D$4</f>
        <v>0.73333333333333328</v>
      </c>
      <c r="S18" s="5" t="s">
        <v>298</v>
      </c>
    </row>
    <row r="19" spans="1:20" ht="18" customHeight="1" x14ac:dyDescent="0.25">
      <c r="K19" s="30">
        <f>15</f>
        <v>15</v>
      </c>
      <c r="L19" s="30">
        <f t="shared" si="0"/>
        <v>155117520</v>
      </c>
      <c r="M19" s="31">
        <f t="shared" si="1"/>
        <v>5.0485728295604679E-10</v>
      </c>
      <c r="N19" s="32">
        <f t="shared" si="2"/>
        <v>7.8312209686080242E-2</v>
      </c>
      <c r="O19" s="17"/>
      <c r="Q19" s="5" t="s">
        <v>299</v>
      </c>
      <c r="R19" s="16">
        <f>SQRT($D$5*(1-$D$5)/$D$4)</f>
        <v>8.9442719099991588E-2</v>
      </c>
      <c r="S19" s="5" t="s">
        <v>300</v>
      </c>
    </row>
    <row r="20" spans="1:20" ht="18" customHeight="1" x14ac:dyDescent="0.25">
      <c r="A20" s="43" t="s">
        <v>53</v>
      </c>
      <c r="K20" s="30">
        <f>16</f>
        <v>16</v>
      </c>
      <c r="L20" s="30">
        <f t="shared" si="0"/>
        <v>145422675</v>
      </c>
      <c r="M20" s="31">
        <f t="shared" si="1"/>
        <v>7.5728592443406993E-10</v>
      </c>
      <c r="N20" s="32">
        <f t="shared" si="2"/>
        <v>0.11012654487105031</v>
      </c>
      <c r="O20" s="17"/>
      <c r="Q20" s="5" t="s">
        <v>301</v>
      </c>
      <c r="R20" s="16">
        <f>($R$18-$D$5)/$R$19</f>
        <v>1.4907119849998594</v>
      </c>
      <c r="S20" s="5" t="s">
        <v>302</v>
      </c>
    </row>
    <row r="21" spans="1:20" ht="18" customHeight="1" x14ac:dyDescent="0.25">
      <c r="A21" s="40"/>
      <c r="K21" s="30">
        <f>17</f>
        <v>17</v>
      </c>
      <c r="L21" s="30">
        <f t="shared" si="0"/>
        <v>119759850</v>
      </c>
      <c r="M21" s="31">
        <f t="shared" si="1"/>
        <v>1.1359288866511049E-9</v>
      </c>
      <c r="N21" s="32">
        <f t="shared" si="2"/>
        <v>0.13603867307600334</v>
      </c>
      <c r="O21" s="17"/>
      <c r="Q21" s="14" t="s">
        <v>156</v>
      </c>
    </row>
    <row r="22" spans="1:20" ht="18" customHeight="1" x14ac:dyDescent="0.25">
      <c r="A22" s="40"/>
      <c r="K22" s="30">
        <f>18</f>
        <v>18</v>
      </c>
      <c r="L22" s="30">
        <f t="shared" si="0"/>
        <v>86493225.000000015</v>
      </c>
      <c r="M22" s="31">
        <f t="shared" si="1"/>
        <v>1.7038933299766573E-9</v>
      </c>
      <c r="N22" s="32">
        <f t="shared" si="2"/>
        <v>0.14737522916567028</v>
      </c>
      <c r="O22" s="17"/>
      <c r="Q22" s="5" t="s">
        <v>303</v>
      </c>
      <c r="R22" s="18">
        <f>1-_xlfn.BINOM.DIST($D$6-1,$D$4,$D$5,TRUE)</f>
        <v>9.4011215830094974E-2</v>
      </c>
      <c r="S22" s="5" t="s">
        <v>253</v>
      </c>
      <c r="T22" s="19" t="str">
        <f>IF(ABS(R22-$R$16)&lt;0.000001,"ano","ne")</f>
        <v>ano</v>
      </c>
    </row>
    <row r="23" spans="1:20" ht="18" customHeight="1" x14ac:dyDescent="0.25">
      <c r="A23" s="40"/>
      <c r="K23" s="30">
        <f>19</f>
        <v>19</v>
      </c>
      <c r="L23" s="30">
        <f t="shared" si="0"/>
        <v>54627299.999999978</v>
      </c>
      <c r="M23" s="31">
        <f t="shared" si="1"/>
        <v>2.5558399949649853E-9</v>
      </c>
      <c r="N23" s="32">
        <f t="shared" si="2"/>
        <v>0.13961863815695069</v>
      </c>
      <c r="O23" s="17"/>
      <c r="Q23" s="5" t="s">
        <v>304</v>
      </c>
      <c r="R23" s="18">
        <f>1-_xlfn.NORM.DIST($D$6,$R$9,$R$10,TRUE)</f>
        <v>6.8018564057071851E-2</v>
      </c>
      <c r="S23" s="5" t="s">
        <v>305</v>
      </c>
      <c r="T23" s="19" t="str">
        <f>IF(ABS(R23-$R$12)&lt;0.000001,"ano","ne")</f>
        <v>ano</v>
      </c>
    </row>
    <row r="24" spans="1:20" ht="18" customHeight="1" x14ac:dyDescent="0.25">
      <c r="A24" s="40"/>
      <c r="K24" s="30">
        <f>20</f>
        <v>20</v>
      </c>
      <c r="L24" s="30">
        <f t="shared" si="0"/>
        <v>30045015</v>
      </c>
      <c r="M24" s="31">
        <f t="shared" si="1"/>
        <v>3.8337599924474781E-9</v>
      </c>
      <c r="N24" s="32">
        <f t="shared" si="2"/>
        <v>0.11518537647948436</v>
      </c>
      <c r="O24" s="17"/>
      <c r="Q24" s="5" t="s">
        <v>306</v>
      </c>
      <c r="R24" s="18">
        <f>$R$20</f>
        <v>1.4907119849998594</v>
      </c>
      <c r="S24" s="5" t="s">
        <v>307</v>
      </c>
      <c r="T24" s="19" t="str">
        <f>IF(ABS(R24-$R$11)&lt;0.000001,"ano","ne")</f>
        <v>ano</v>
      </c>
    </row>
    <row r="25" spans="1:20" ht="18" customHeight="1" x14ac:dyDescent="0.25">
      <c r="K25" s="30">
        <f>21</f>
        <v>21</v>
      </c>
      <c r="L25" s="30">
        <f t="shared" si="0"/>
        <v>14307150.000000004</v>
      </c>
      <c r="M25" s="31">
        <f t="shared" si="1"/>
        <v>5.7506399886712155E-9</v>
      </c>
      <c r="N25" s="32">
        <f t="shared" si="2"/>
        <v>8.2275268913917399E-2</v>
      </c>
      <c r="O25" s="17"/>
    </row>
    <row r="26" spans="1:20" ht="18" customHeight="1" x14ac:dyDescent="0.25">
      <c r="A26" s="41" t="s">
        <v>264</v>
      </c>
      <c r="K26" s="30">
        <f>22</f>
        <v>22</v>
      </c>
      <c r="L26" s="30">
        <f t="shared" si="0"/>
        <v>5852925</v>
      </c>
      <c r="M26" s="31">
        <f t="shared" si="1"/>
        <v>8.6259599830068211E-9</v>
      </c>
      <c r="N26" s="32">
        <f t="shared" si="2"/>
        <v>5.0487096833540197E-2</v>
      </c>
      <c r="O26" s="17"/>
      <c r="Q26" s="42" t="s">
        <v>103</v>
      </c>
      <c r="R26" s="42"/>
      <c r="S26" s="42"/>
    </row>
    <row r="27" spans="1:20" ht="18" customHeight="1" x14ac:dyDescent="0.25">
      <c r="A27" s="40"/>
      <c r="K27" s="30">
        <f>23</f>
        <v>23</v>
      </c>
      <c r="L27" s="30">
        <f t="shared" si="0"/>
        <v>2035800.0000000005</v>
      </c>
      <c r="M27" s="31">
        <f t="shared" si="1"/>
        <v>1.2938939974510231E-8</v>
      </c>
      <c r="N27" s="32">
        <f t="shared" si="2"/>
        <v>2.6341094000107933E-2</v>
      </c>
      <c r="O27" s="17"/>
      <c r="Q27" s="40" t="s">
        <v>308</v>
      </c>
      <c r="R27" s="40"/>
      <c r="S27" s="40"/>
    </row>
    <row r="28" spans="1:20" ht="18" customHeight="1" x14ac:dyDescent="0.25">
      <c r="K28" s="30">
        <f>24</f>
        <v>24</v>
      </c>
      <c r="L28" s="30">
        <f t="shared" si="0"/>
        <v>593774.99999999988</v>
      </c>
      <c r="M28" s="31">
        <f t="shared" si="1"/>
        <v>1.9408409961765342E-8</v>
      </c>
      <c r="N28" s="32">
        <f t="shared" si="2"/>
        <v>1.1524228625047215E-2</v>
      </c>
      <c r="O28" s="17"/>
      <c r="Q28" s="40"/>
      <c r="R28" s="40"/>
      <c r="S28" s="40"/>
    </row>
    <row r="29" spans="1:20" ht="18" customHeight="1" x14ac:dyDescent="0.25">
      <c r="K29" s="30">
        <f>25</f>
        <v>25</v>
      </c>
      <c r="L29" s="30">
        <f t="shared" si="0"/>
        <v>142506</v>
      </c>
      <c r="M29" s="31">
        <f t="shared" si="1"/>
        <v>2.9112614942648018E-8</v>
      </c>
      <c r="N29" s="32">
        <f t="shared" si="2"/>
        <v>4.1487223050169983E-3</v>
      </c>
      <c r="O29" s="17"/>
      <c r="Q29" s="40"/>
      <c r="R29" s="40"/>
      <c r="S29" s="40"/>
    </row>
    <row r="30" spans="1:20" ht="18" customHeight="1" x14ac:dyDescent="0.25">
      <c r="K30" s="30">
        <f>26</f>
        <v>26</v>
      </c>
      <c r="L30" s="30">
        <f t="shared" si="0"/>
        <v>27405.000000000004</v>
      </c>
      <c r="M30" s="31">
        <f t="shared" si="1"/>
        <v>4.3668922413972021E-8</v>
      </c>
      <c r="N30" s="32">
        <f t="shared" si="2"/>
        <v>1.1967468187549033E-3</v>
      </c>
      <c r="O30" s="17"/>
      <c r="Q30" s="40"/>
      <c r="R30" s="40"/>
      <c r="S30" s="40"/>
    </row>
    <row r="31" spans="1:20" ht="18" customHeight="1" x14ac:dyDescent="0.25">
      <c r="K31" s="30">
        <f>27</f>
        <v>27</v>
      </c>
      <c r="L31" s="30">
        <f t="shared" si="0"/>
        <v>4059.9999999999995</v>
      </c>
      <c r="M31" s="31">
        <f t="shared" si="1"/>
        <v>6.5503383620958015E-8</v>
      </c>
      <c r="N31" s="32">
        <f t="shared" si="2"/>
        <v>2.6594373750108953E-4</v>
      </c>
      <c r="O31" s="17"/>
      <c r="Q31" s="40"/>
      <c r="R31" s="40"/>
      <c r="S31" s="40"/>
    </row>
    <row r="32" spans="1:20" ht="18" customHeight="1" x14ac:dyDescent="0.25">
      <c r="A32" s="11" t="s">
        <v>62</v>
      </c>
      <c r="K32" s="30">
        <f>28</f>
        <v>28</v>
      </c>
      <c r="L32" s="30">
        <f t="shared" si="0"/>
        <v>435</v>
      </c>
      <c r="M32" s="31">
        <f t="shared" si="1"/>
        <v>9.8255075431437009E-8</v>
      </c>
      <c r="N32" s="32">
        <f t="shared" si="2"/>
        <v>4.2740957812675101E-5</v>
      </c>
      <c r="O32" s="17"/>
      <c r="Q32" s="40"/>
      <c r="R32" s="40"/>
      <c r="S32" s="40"/>
    </row>
    <row r="33" spans="1:19" ht="18" customHeight="1" x14ac:dyDescent="0.25">
      <c r="K33" s="30">
        <f>29</f>
        <v>29</v>
      </c>
      <c r="L33" s="30">
        <f t="shared" si="0"/>
        <v>30</v>
      </c>
      <c r="M33" s="31">
        <f t="shared" si="1"/>
        <v>1.473826131471555E-7</v>
      </c>
      <c r="N33" s="32">
        <f t="shared" si="2"/>
        <v>4.4214783944146651E-6</v>
      </c>
      <c r="O33" s="17"/>
      <c r="Q33" s="40"/>
      <c r="R33" s="40"/>
      <c r="S33" s="40"/>
    </row>
    <row r="34" spans="1:19" ht="18" customHeight="1" x14ac:dyDescent="0.25">
      <c r="K34" s="30">
        <f>30</f>
        <v>30</v>
      </c>
      <c r="L34" s="30">
        <f t="shared" si="0"/>
        <v>1</v>
      </c>
      <c r="M34" s="31">
        <f t="shared" si="1"/>
        <v>2.2107391972073322E-7</v>
      </c>
      <c r="N34" s="32">
        <f t="shared" si="2"/>
        <v>2.2107391972073322E-7</v>
      </c>
      <c r="O34" s="17"/>
      <c r="Q34" s="40"/>
      <c r="R34" s="40"/>
      <c r="S34" s="40"/>
    </row>
    <row r="35" spans="1:19" ht="18" customHeight="1" x14ac:dyDescent="0.25">
      <c r="A35" s="41" t="s">
        <v>271</v>
      </c>
      <c r="Q35" s="40"/>
      <c r="R35" s="40"/>
      <c r="S35" s="40"/>
    </row>
    <row r="36" spans="1:19" ht="18" customHeight="1" x14ac:dyDescent="0.25">
      <c r="A36" s="40"/>
      <c r="Q36" s="40"/>
      <c r="R36" s="40"/>
      <c r="S36" s="40"/>
    </row>
    <row r="37" spans="1:19" ht="18" customHeight="1" x14ac:dyDescent="0.25">
      <c r="Q37" s="40"/>
      <c r="R37" s="40"/>
      <c r="S37" s="40"/>
    </row>
    <row r="38" spans="1:19" ht="18" customHeight="1" x14ac:dyDescent="0.25">
      <c r="Q38" s="40"/>
      <c r="R38" s="40"/>
      <c r="S38" s="40"/>
    </row>
    <row r="39" spans="1:19" ht="18" customHeight="1" x14ac:dyDescent="0.25">
      <c r="Q39" s="40"/>
      <c r="R39" s="40"/>
      <c r="S39" s="40"/>
    </row>
    <row r="40" spans="1:19" ht="18" customHeight="1" x14ac:dyDescent="0.25">
      <c r="Q40" s="40"/>
      <c r="R40" s="40"/>
      <c r="S40" s="40"/>
    </row>
    <row r="41" spans="1:19" ht="18" customHeight="1" x14ac:dyDescent="0.25">
      <c r="A41" s="41" t="s">
        <v>272</v>
      </c>
      <c r="Q41" s="40"/>
      <c r="R41" s="40"/>
      <c r="S41" s="40"/>
    </row>
    <row r="42" spans="1:19" ht="18" customHeight="1" x14ac:dyDescent="0.25">
      <c r="A42" s="40"/>
      <c r="Q42" s="40"/>
      <c r="R42" s="40"/>
      <c r="S42" s="40"/>
    </row>
    <row r="43" spans="1:19" ht="18" customHeight="1" x14ac:dyDescent="0.25"/>
    <row r="44" spans="1:19" ht="18" customHeight="1" x14ac:dyDescent="0.25"/>
    <row r="45" spans="1:19" ht="18" customHeight="1" x14ac:dyDescent="0.25"/>
    <row r="46" spans="1:19" ht="18" customHeight="1" x14ac:dyDescent="0.25"/>
    <row r="47" spans="1:19" ht="18" customHeight="1" x14ac:dyDescent="0.25">
      <c r="A47" s="41" t="s">
        <v>273</v>
      </c>
    </row>
    <row r="48" spans="1:19" ht="18" customHeight="1" x14ac:dyDescent="0.25">
      <c r="A48" s="40"/>
    </row>
    <row r="49" spans="1:1" ht="18" customHeight="1" x14ac:dyDescent="0.25"/>
    <row r="50" spans="1:1" ht="18" customHeight="1" x14ac:dyDescent="0.25"/>
    <row r="51" spans="1:1" ht="18" customHeight="1" x14ac:dyDescent="0.25"/>
    <row r="52" spans="1:1" ht="18" customHeight="1" x14ac:dyDescent="0.25"/>
    <row r="53" spans="1:1" ht="18" customHeight="1" x14ac:dyDescent="0.25"/>
    <row r="54" spans="1:1" ht="18" customHeight="1" x14ac:dyDescent="0.25"/>
    <row r="55" spans="1:1" ht="18" customHeight="1" x14ac:dyDescent="0.25">
      <c r="A55" s="41" t="s">
        <v>274</v>
      </c>
    </row>
    <row r="56" spans="1:1" ht="18" customHeight="1" x14ac:dyDescent="0.25">
      <c r="A56" s="40"/>
    </row>
    <row r="57" spans="1:1" ht="18" customHeight="1" x14ac:dyDescent="0.25"/>
    <row r="58" spans="1:1" ht="18" customHeight="1" x14ac:dyDescent="0.25"/>
    <row r="59" spans="1:1" ht="18" customHeight="1" x14ac:dyDescent="0.25"/>
    <row r="60" spans="1:1" ht="18" customHeight="1" x14ac:dyDescent="0.25"/>
    <row r="61" spans="1:1" ht="18" customHeight="1" x14ac:dyDescent="0.25"/>
    <row r="62" spans="1:1" ht="18" customHeight="1" x14ac:dyDescent="0.25"/>
    <row r="63" spans="1:1" ht="18" customHeight="1" x14ac:dyDescent="0.25"/>
    <row r="64" spans="1: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</sheetData>
  <mergeCells count="10">
    <mergeCell ref="A47:A48"/>
    <mergeCell ref="A55:A56"/>
    <mergeCell ref="Q26:S26"/>
    <mergeCell ref="Q27:S42"/>
    <mergeCell ref="A4:A8"/>
    <mergeCell ref="A10:A18"/>
    <mergeCell ref="A20:A24"/>
    <mergeCell ref="A26:A27"/>
    <mergeCell ref="A35:A36"/>
    <mergeCell ref="A41:A42"/>
  </mergeCells>
  <conditionalFormatting sqref="N4:N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{39B395FB-CDA0-46F2-84F2-F60399557E00}</x14:id>
        </ext>
      </extLst>
    </cfRule>
  </conditionalFormatting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B395FB-CDA0-46F2-84F2-F60399557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N4:N34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Prehled</vt:lpstr>
      <vt:lpstr>U1_tabulka</vt:lpstr>
      <vt:lpstr>U2_screening</vt:lpstr>
      <vt:lpstr>U3_tipovani</vt:lpstr>
      <vt:lpstr>U4_test_20</vt:lpstr>
      <vt:lpstr>U5_aproximace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2026-10-27T21:08:18Z</dcterms:created>
  <dcterms:modified xsi:type="dcterms:W3CDTF">2026-10-27T22:38:01Z</dcterms:modified>
</cp:coreProperties>
</file>