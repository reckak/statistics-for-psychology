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 Projects\github\statistics-for-psychology\presentations\"/>
    </mc:Choice>
  </mc:AlternateContent>
  <xr:revisionPtr revIDLastSave="0" documentId="13_ncr:1_{53CDE8CF-8510-4186-BC12-0EEB11E3D092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Data" sheetId="1" r:id="rId1"/>
    <sheet name="Po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1" l="1"/>
  <c r="Q60" i="1"/>
  <c r="P61" i="1"/>
  <c r="Q61" i="1"/>
  <c r="P62" i="1"/>
  <c r="Q62" i="1"/>
  <c r="P63" i="1"/>
  <c r="Q63" i="1"/>
  <c r="O61" i="1"/>
  <c r="O62" i="1"/>
  <c r="O63" i="1"/>
  <c r="O60" i="1"/>
  <c r="M67" i="1"/>
  <c r="N67" i="1"/>
  <c r="N61" i="1"/>
  <c r="N62" i="1"/>
  <c r="N63" i="1"/>
  <c r="N60" i="1"/>
  <c r="M61" i="1"/>
  <c r="M62" i="1"/>
  <c r="M63" i="1"/>
  <c r="M60" i="1"/>
  <c r="L67" i="1"/>
  <c r="L66" i="1"/>
  <c r="L64" i="1"/>
  <c r="L63" i="1"/>
  <c r="L61" i="1"/>
  <c r="L62" i="1"/>
  <c r="L60" i="1"/>
  <c r="N43" i="1"/>
  <c r="N44" i="1"/>
  <c r="N45" i="1"/>
  <c r="N46" i="1"/>
  <c r="N47" i="1"/>
  <c r="N48" i="1"/>
  <c r="N49" i="1"/>
  <c r="N50" i="1"/>
  <c r="N51" i="1"/>
  <c r="N52" i="1"/>
  <c r="N53" i="1"/>
  <c r="N54" i="1"/>
  <c r="N42" i="1"/>
  <c r="P43" i="1"/>
  <c r="P44" i="1"/>
  <c r="P45" i="1"/>
  <c r="P46" i="1"/>
  <c r="P47" i="1"/>
  <c r="P48" i="1"/>
  <c r="P49" i="1"/>
  <c r="P50" i="1"/>
  <c r="P51" i="1"/>
  <c r="P52" i="1"/>
  <c r="P53" i="1"/>
  <c r="P54" i="1"/>
  <c r="P42" i="1"/>
  <c r="O43" i="1"/>
  <c r="O44" i="1"/>
  <c r="O45" i="1"/>
  <c r="O46" i="1"/>
  <c r="O47" i="1"/>
  <c r="O48" i="1"/>
  <c r="O49" i="1"/>
  <c r="O50" i="1"/>
  <c r="O51" i="1"/>
  <c r="O52" i="1"/>
  <c r="O53" i="1"/>
  <c r="O54" i="1"/>
  <c r="O42" i="1"/>
  <c r="L56" i="1"/>
  <c r="M56" i="1"/>
  <c r="K56" i="1"/>
  <c r="K43" i="1"/>
  <c r="K44" i="1"/>
  <c r="K45" i="1"/>
  <c r="K46" i="1"/>
  <c r="K47" i="1"/>
  <c r="K48" i="1"/>
  <c r="K49" i="1"/>
  <c r="K50" i="1"/>
  <c r="K51" i="1"/>
  <c r="K52" i="1"/>
  <c r="K53" i="1"/>
  <c r="K54" i="1"/>
  <c r="K42" i="1"/>
  <c r="K13" i="1"/>
  <c r="K11" i="1"/>
  <c r="K12" i="1"/>
  <c r="K10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Q31" i="1"/>
  <c r="R31" i="1"/>
  <c r="P31" i="1"/>
  <c r="N38" i="1"/>
  <c r="O38" i="1"/>
  <c r="O32" i="1"/>
  <c r="O33" i="1"/>
  <c r="O34" i="1"/>
  <c r="O35" i="1"/>
  <c r="O36" i="1"/>
  <c r="O31" i="1"/>
  <c r="N32" i="1"/>
  <c r="N33" i="1"/>
  <c r="N34" i="1"/>
  <c r="N35" i="1"/>
  <c r="N36" i="1"/>
  <c r="N31" i="1"/>
  <c r="M32" i="1"/>
  <c r="M33" i="1"/>
  <c r="M34" i="1"/>
  <c r="M35" i="1"/>
  <c r="M36" i="1"/>
  <c r="M31" i="1"/>
  <c r="M43" i="1"/>
  <c r="M44" i="1"/>
  <c r="M45" i="1"/>
  <c r="M46" i="1"/>
  <c r="M47" i="1"/>
  <c r="M48" i="1"/>
  <c r="M49" i="1"/>
  <c r="M50" i="1"/>
  <c r="M51" i="1"/>
  <c r="M52" i="1"/>
  <c r="M53" i="1"/>
  <c r="M54" i="1"/>
  <c r="M42" i="1"/>
  <c r="L43" i="1"/>
  <c r="L44" i="1"/>
  <c r="L45" i="1"/>
  <c r="L46" i="1"/>
  <c r="L47" i="1"/>
  <c r="L48" i="1"/>
  <c r="L49" i="1"/>
  <c r="L50" i="1"/>
  <c r="L51" i="1"/>
  <c r="L52" i="1"/>
  <c r="L53" i="1"/>
  <c r="L54" i="1"/>
  <c r="L42" i="1"/>
  <c r="L31" i="1"/>
  <c r="M27" i="1"/>
  <c r="M21" i="1"/>
  <c r="M22" i="1"/>
  <c r="M23" i="1"/>
  <c r="M24" i="1"/>
  <c r="M25" i="1"/>
  <c r="M20" i="1"/>
  <c r="L20" i="1"/>
  <c r="K5" i="1"/>
  <c r="K4" i="1"/>
  <c r="M38" i="1" l="1"/>
  <c r="K6" i="1"/>
  <c r="L6" i="1" s="1"/>
  <c r="M6" i="1" s="1"/>
  <c r="K16" i="1"/>
  <c r="K15" i="1"/>
  <c r="L5" i="1" l="1"/>
  <c r="M5" i="1" s="1"/>
  <c r="L4" i="1"/>
  <c r="M4" i="1" s="1"/>
  <c r="L12" i="1"/>
  <c r="L13" i="1"/>
  <c r="L11" i="1"/>
  <c r="L10" i="1"/>
  <c r="M11" i="1"/>
  <c r="M12" i="1"/>
  <c r="M10" i="1"/>
</calcChain>
</file>

<file path=xl/sharedStrings.xml><?xml version="1.0" encoding="utf-8"?>
<sst xmlns="http://schemas.openxmlformats.org/spreadsheetml/2006/main" count="346" uniqueCount="151">
  <si>
    <t>id</t>
  </si>
  <si>
    <t>podminka</t>
  </si>
  <si>
    <t>gender</t>
  </si>
  <si>
    <t>spanek_h</t>
  </si>
  <si>
    <t>odpocatost</t>
  </si>
  <si>
    <t>slova</t>
  </si>
  <si>
    <t>poznamka</t>
  </si>
  <si>
    <t>S01</t>
  </si>
  <si>
    <t>ticho</t>
  </si>
  <si>
    <t>nebinární</t>
  </si>
  <si>
    <t>S02</t>
  </si>
  <si>
    <t>hluk</t>
  </si>
  <si>
    <t>muž</t>
  </si>
  <si>
    <t>odpočatost neuvedena</t>
  </si>
  <si>
    <t>S03</t>
  </si>
  <si>
    <t>žena</t>
  </si>
  <si>
    <t>S04</t>
  </si>
  <si>
    <t>S05</t>
  </si>
  <si>
    <t>S06</t>
  </si>
  <si>
    <t>S07</t>
  </si>
  <si>
    <t>spánek neuveden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</si>
  <si>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</si>
  <si>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</si>
  <si>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</si>
  <si>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</si>
  <si>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</si>
  <si>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</si>
  <si>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</si>
  <si>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</si>
  <si>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</si>
  <si>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</si>
  <si>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</si>
  <si>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</si>
  <si>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</si>
  <si>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</si>
  <si>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výsledek nedostupný při chybě záznamu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</si>
  <si>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</si>
  <si>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</si>
  <si>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</si>
  <si>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</si>
  <si>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</si>
  <si>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</si>
  <si>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</si>
  <si>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</si>
  <si>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</si>
  <si>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</si>
  <si>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</si>
  <si>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</si>
  <si>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</si>
  <si>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</si>
  <si>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</si>
  <si>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</si>
  <si>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gender neuveden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</si>
  <si>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</si>
  <si>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</si>
  <si>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</si>
  <si>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</si>
  <si>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</si>
  <si>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</si>
  <si>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</si>
  <si>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</si>
  <si>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</si>
  <si>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</si>
  <si>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</si>
  <si>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</si>
  <si>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</si>
  <si>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</si>
  <si>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spánek neuveden; odpočatost neuvedena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</si>
  <si>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</si>
  <si>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</si>
  <si>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</si>
  <si>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</si>
  <si>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</si>
  <si>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</si>
  <si>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</si>
  <si>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</si>
  <si>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</si>
  <si>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</si>
  <si>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</si>
  <si>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</si>
  <si>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</si>
  <si>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</si>
  <si>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</si>
  <si>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</si>
  <si>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</si>
  <si>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</si>
  <si>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</si>
  <si>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</si>
  <si>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</si>
  <si>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Studie spánku a paměti</t>
  </si>
  <si>
    <t>Cvičná modelová data ke kapitole 2</t>
  </si>
  <si>
    <t>Původ</t>
  </si>
  <si>
    <t>72 fiktivních účastníků. Data byla záměrně sestavena pro výuku; nejde o výsledky skutečné studie.</t>
  </si>
  <si>
    <t>Jednotka pozorování</t>
  </si>
  <si>
    <t>Jeden řádek = jeden účastník při jedné návštěvě. Každý absolvuje pouze jednu podmínku.</t>
  </si>
  <si>
    <t>Modelový protokol</t>
  </si>
  <si>
    <t>Před úlohou účastník uvede genderovou identitu, odhad spánku předchozí noci a aktuální odpočatost.</t>
  </si>
  <si>
    <t>Podmínky</t>
  </si>
  <si>
    <t>Při čtení seznamu 12 slov je ticho, nebo stejná zvuková nahrávka hluku. Čtení trvá 1 minutu, poté 1 minuta vybavování v tichu.</t>
  </si>
  <si>
    <t>Stejné podmínky měření</t>
  </si>
  <si>
    <t>Seznam slov, instrukce i čas jsou pro obě skupiny stejné. Každé různé správně vybavené slovo se započte jednou.</t>
  </si>
  <si>
    <t>Velikost skupin</t>
  </si>
  <si>
    <t>Skupiny záměrně mají různý počet účastníků. Rozsah i počet platných údajů zjistěte z dat zvlášť pro každou proměnnou.</t>
  </si>
  <si>
    <t>Význam srovnání</t>
  </si>
  <si>
    <t>Spánek, odpočatost a gender popisují výchozí složení skupin. Výsledkem úlohy je slova. Popisné rozdíly samy neprokazují příčinu.</t>
  </si>
  <si>
    <t>Chybějící hodnoty</t>
  </si>
  <si>
    <t>Prázdná buňka znamená chybějící údaj. Nula u slova je platný výkon. Důvody chybění jsou modelové a uvádí je poznamka.</t>
  </si>
  <si>
    <t>Sestavení dat</t>
  </si>
  <si>
    <t>Okrajové četnosti a chybění byly určeny didakticky, hodnoty uvnitř skupin náhodně promíchány (seed 20261005).</t>
  </si>
  <si>
    <t>Omezení modelových dat</t>
  </si>
  <si>
    <t>Sestavení nepředstavuje simulaci skutečného účinku hluku ani vztahů mezi charakteristikami. Z dat nelze doložit randomizaci či kauzální účinek.</t>
  </si>
  <si>
    <t>Zaokrouhlování</t>
  </si>
  <si>
    <t>Absolutní četnosti jako celá čísla, podíly na 3 desetinná místa, procenta na 1 desetinné místo. Mezivýpočty nezaokrouhlujte.</t>
  </si>
  <si>
    <t>Práce se souborem</t>
  </si>
  <si>
    <t>Původní Data uchovejte. Četnostní tabulky a grafy vytvářejte na nových listech; řešení a hotové grafy nejsou součástí sešitu.</t>
  </si>
  <si>
    <t>Základ procent</t>
  </si>
  <si>
    <t>Pokud úloha neurčí jinak, použijte platné údaje dané proměnné v příslušné skupině. Zvlášť uveďte počet chybějících.</t>
  </si>
  <si>
    <t>Textový identifikátor S01 až S72. Nominální označení osoby, nikoli pořadí výkonu.</t>
  </si>
  <si>
    <t>Nominální experimentální podmínka: ticho / hluk. Úplná u všech osob. Nezávislá proměnná modelového experimentu.</t>
  </si>
  <si>
    <t>Genderová identita uvedená před úlohou: žena / muž / nebinární. Nominální proměnná bez přirozeného pořadí. Prázdná = neuvedeno.</t>
  </si>
  <si>
    <t>Odhad délky spánku předchozí noci v hodinách, zaznamenán na 1 desetinné místo. Spojitá poměrová veličina zaznamenaná s omezenou přesností.</t>
  </si>
  <si>
    <t>Odpověď před úlohou: 1 = vůbec, 2 = trochu, 3 = dost, 4 = zcela. Ordinální proměnná; stejné rozestupy prožitku nepředpokládáme.</t>
  </si>
  <si>
    <t>Počet různých správně vybavených slov z 12. Diskrétní poměrová proměnná, celá čísla 0 až 12. Prázdná = nedostupný záznam výsledku.</t>
  </si>
  <si>
    <t>Popis modelových důvodů chybění. Prázdná = žádný ze čtyř měřených údajů nechybí. Nejde o další měřený výsledek.</t>
  </si>
  <si>
    <t>Intervaly spánku</t>
  </si>
  <si>
    <t>Pro hlavní cvičení používejte 4 až &lt; 5, 5 až &lt; 6, …, 9 až &lt; 10 hodin. Dolní mez patří dovnitř, horní ne.</t>
  </si>
  <si>
    <t>Studijní podklad</t>
  </si>
  <si>
    <t>Kapitola 2: Četnosti, rozdělení dat a jejich zobrazení. Cvičný soubor je nový, odlišný od 36 modelových osob ve skriptech.</t>
  </si>
  <si>
    <t>Podmínka</t>
  </si>
  <si>
    <t>f</t>
  </si>
  <si>
    <t>celkem</t>
  </si>
  <si>
    <t>p</t>
  </si>
  <si>
    <t>%</t>
  </si>
  <si>
    <t>neuvedeno</t>
  </si>
  <si>
    <t>n_all</t>
  </si>
  <si>
    <t>n_valid</t>
  </si>
  <si>
    <t>p_all</t>
  </si>
  <si>
    <t>p_valid</t>
  </si>
  <si>
    <t>dolní mez</t>
  </si>
  <si>
    <t>horní mez</t>
  </si>
  <si>
    <t>střed</t>
  </si>
  <si>
    <t>Celkem</t>
  </si>
  <si>
    <t>Pohlaví</t>
  </si>
  <si>
    <t>Spánek</t>
  </si>
  <si>
    <t>Slova</t>
  </si>
  <si>
    <t>Opdpočatost</t>
  </si>
  <si>
    <t>label</t>
  </si>
  <si>
    <t>vůbec</t>
  </si>
  <si>
    <t>málo</t>
  </si>
  <si>
    <t>dost</t>
  </si>
  <si>
    <t>zcela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</si>
</sst>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>
    <font>
      <sz val="11"/>
      <name val="Carlito"/>
    </font>
    <font>
      <sz val="11"/>
      <color rgb="FF142A3B"/>
      <name val="Arial"/>
    </font>
    <font>
      <b/>
      <sz val="11"/>
      <color rgb="FFFFFFFF"/>
      <name val="Arial"/>
    </font>
    <font>
      <sz val="10"/>
      <color rgb="FF576574"/>
      <name val="Arial"/>
    </font>
    <font>
      <b/>
      <sz val="11"/>
      <color rgb="FF142A3B"/>
      <name val="Arial"/>
    </font>
    <font>
      <b/>
      <sz val="15"/>
      <color rgb="FF142A3B"/>
      <name val="Arial"/>
    </font>
    <font>
      <sz val="11"/>
      <name val="Carlito"/>
    </font>
    <font>
      <b/>
      <sz val="11"/>
      <name val="Carlito"/>
      <charset val="238"/>
    </font>
  </fonts>
  <fills count="4">
    <fill>
      <patternFill patternType="none"/>
    </fill>
    <fill>
      <patternFill patternType="gray125"/>
    </fill>
    <fill>
      <patternFill patternType="solid">
        <fgColor rgb="FF142A3B"/>
      </patternFill>
    </fill>
    <fill>
      <patternFill patternType="solid">
        <fgColor rgb="FFEDF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164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165" fontId="0" fillId="0" borderId="0" xfId="0" applyNumberFormat="1"/>
    <xf numFmtId="1" fontId="0" fillId="0" borderId="0" xfId="0" applyNumberFormat="1"/>
    <xf numFmtId="0" fontId="7" fillId="0" borderId="0" xfId="0" applyFont="1"/>
  </cellXfs>
  <cellStyles count="2">
    <cellStyle name="Normal" xfId="1" xr:uid="{00000000-0005-0000-0000-000000000000}"/>
    <cellStyle name="Normální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Data!$J$4:$J$5</c:f>
              <c:strCache>
                <c:ptCount val="2"/>
                <c:pt idx="0">
                  <c:v>ticho</c:v>
                </c:pt>
                <c:pt idx="1">
                  <c:v>hluk</c:v>
                </c:pt>
              </c:strCache>
            </c:strRef>
          </c:cat>
          <c:val>
            <c:numRef>
              <c:f>Data!$K$4:$K$5</c:f>
              <c:numCache>
                <c:formatCode>General</c:formatCode>
                <c:ptCount val="2"/>
                <c:pt idx="0">
                  <c:v>44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A-4C1C-B8BB-10DFF8CF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880080"/>
        <c:axId val="728287760"/>
      </c:barChart>
      <c:catAx>
        <c:axId val="72588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Experiemntální podmínka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287760"/>
        <c:crosses val="autoZero"/>
        <c:auto val="1"/>
        <c:lblAlgn val="ctr"/>
        <c:lblOffset val="100"/>
        <c:noMultiLvlLbl val="0"/>
      </c:catAx>
      <c:valAx>
        <c:axId val="7282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Absolutní četnost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588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3E-4882-8E75-F50CAB3D167C}"/>
              </c:ext>
            </c:extLst>
          </c:dPt>
          <c:cat>
            <c:strRef>
              <c:f>Data!$J$10:$J$13</c:f>
              <c:strCache>
                <c:ptCount val="4"/>
                <c:pt idx="0">
                  <c:v>žena</c:v>
                </c:pt>
                <c:pt idx="1">
                  <c:v>muž</c:v>
                </c:pt>
                <c:pt idx="2">
                  <c:v>nebinární</c:v>
                </c:pt>
                <c:pt idx="3">
                  <c:v>neuvedeno</c:v>
                </c:pt>
              </c:strCache>
            </c:strRef>
          </c:cat>
          <c:val>
            <c:numRef>
              <c:f>Data!$L$10:$L$13</c:f>
              <c:numCache>
                <c:formatCode>0.0%</c:formatCode>
                <c:ptCount val="4"/>
                <c:pt idx="0">
                  <c:v>0.4861111111111111</c:v>
                </c:pt>
                <c:pt idx="1">
                  <c:v>0.34722222222222221</c:v>
                </c:pt>
                <c:pt idx="2">
                  <c:v>0.125</c:v>
                </c:pt>
                <c:pt idx="3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E-4882-8E75-F50CAB3D1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281503"/>
        <c:axId val="728351600"/>
      </c:barChart>
      <c:catAx>
        <c:axId val="80528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Pohlaví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351600"/>
        <c:crosses val="autoZero"/>
        <c:auto val="1"/>
        <c:lblAlgn val="ctr"/>
        <c:lblOffset val="100"/>
        <c:noMultiLvlLbl val="0"/>
      </c:catAx>
      <c:valAx>
        <c:axId val="7283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Relativní četnost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528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Data!$M$19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Data!$L$20:$L$25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Data!$M$20:$M$25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14</c:v>
                </c:pt>
                <c:pt idx="3">
                  <c:v>18</c:v>
                </c:pt>
                <c:pt idx="4">
                  <c:v>16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2-47DB-8B96-0B487D8BA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30226384"/>
        <c:axId val="728154320"/>
      </c:barChart>
      <c:catAx>
        <c:axId val="7302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Spánek</a:t>
                </a:r>
                <a:r>
                  <a:rPr lang="en-US" b="1"/>
                  <a:t> </a:t>
                </a:r>
                <a:r>
                  <a:rPr lang="cs-CZ" b="1"/>
                  <a:t>(hodiny)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154320"/>
        <c:crosses val="autoZero"/>
        <c:auto val="1"/>
        <c:lblAlgn val="ctr"/>
        <c:lblOffset val="100"/>
        <c:noMultiLvlLbl val="0"/>
      </c:catAx>
      <c:valAx>
        <c:axId val="7281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Absolutní</a:t>
                </a:r>
                <a:r>
                  <a:rPr lang="cs-CZ" b="1" baseline="0"/>
                  <a:t> četnost</a:t>
                </a:r>
                <a:endParaRPr lang="cs-CZ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302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Data!$Q$30</c:f>
              <c:strCache>
                <c:ptCount val="1"/>
                <c:pt idx="0">
                  <c:v>ticho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Data!$L$31:$L$36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Data!$Q$31:$Q$36</c:f>
              <c:numCache>
                <c:formatCode>0.0%</c:formatCode>
                <c:ptCount val="6"/>
                <c:pt idx="0">
                  <c:v>2.5000000000000001E-2</c:v>
                </c:pt>
                <c:pt idx="1">
                  <c:v>7.4999999999999997E-2</c:v>
                </c:pt>
                <c:pt idx="2">
                  <c:v>0.17499999999999999</c:v>
                </c:pt>
                <c:pt idx="3">
                  <c:v>0.27500000000000002</c:v>
                </c:pt>
                <c:pt idx="4">
                  <c:v>0.3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8-45AC-A686-76DD9B8A290C}"/>
            </c:ext>
          </c:extLst>
        </c:ser>
        <c:ser>
          <c:idx val="1"/>
          <c:order val="1"/>
          <c:tx>
            <c:strRef>
              <c:f>Data!$R$30</c:f>
              <c:strCache>
                <c:ptCount val="1"/>
                <c:pt idx="0">
                  <c:v>hluk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Data!$L$31:$L$36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Data!$R$31:$R$36</c:f>
              <c:numCache>
                <c:formatCode>0.0%</c:formatCode>
                <c:ptCount val="6"/>
                <c:pt idx="0">
                  <c:v>8.3333333333333329E-2</c:v>
                </c:pt>
                <c:pt idx="1">
                  <c:v>0.125</c:v>
                </c:pt>
                <c:pt idx="2">
                  <c:v>0.29166666666666669</c:v>
                </c:pt>
                <c:pt idx="3">
                  <c:v>0.29166666666666669</c:v>
                </c:pt>
                <c:pt idx="4">
                  <c:v>0.16666666666666666</c:v>
                </c:pt>
                <c:pt idx="5">
                  <c:v>4.1666666666666664E-2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B8-45AC-A686-76DD9B8A2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886112"/>
        <c:axId val="728250800"/>
      </c:lineChart>
      <c:catAx>
        <c:axId val="72588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Spánek</a:t>
                </a: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cs-CZ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(hodiny)</a:t>
                </a:r>
              </a:p>
            </c:rich>
          </c:tx>
          <c:layout>
            <c:manualLayout>
              <c:xMode val="edge"/>
              <c:yMode val="edge"/>
              <c:x val="0.50595654636274157"/>
              <c:y val="0.90854384331761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250800"/>
        <c:crosses val="autoZero"/>
        <c:auto val="1"/>
        <c:lblAlgn val="ctr"/>
        <c:lblOffset val="100"/>
        <c:noMultiLvlLbl val="0"/>
      </c:catAx>
      <c:valAx>
        <c:axId val="7282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Relativní četnost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58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Data!$K$41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Data!$J$42:$J$54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Data!$K$42:$K$54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11</c:v>
                </c:pt>
                <c:pt idx="8">
                  <c:v>14</c:v>
                </c:pt>
                <c:pt idx="9">
                  <c:v>9</c:v>
                </c:pt>
                <c:pt idx="10">
                  <c:v>7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1-4F44-8C00-05FDD26F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32903104"/>
        <c:axId val="728366960"/>
      </c:barChart>
      <c:catAx>
        <c:axId val="73290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Počet vybavených slov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366960"/>
        <c:crosses val="autoZero"/>
        <c:auto val="1"/>
        <c:lblAlgn val="ctr"/>
        <c:lblOffset val="100"/>
        <c:noMultiLvlLbl val="0"/>
      </c:catAx>
      <c:valAx>
        <c:axId val="7283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Absolutní</a:t>
                </a:r>
                <a:r>
                  <a:rPr lang="cs-CZ" b="1" baseline="0"/>
                  <a:t> četnost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329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Data!$O$41</c:f>
              <c:strCache>
                <c:ptCount val="1"/>
                <c:pt idx="0">
                  <c:v>ticho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Data!$J$42:$J$54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Data!$O$42:$O$54</c:f>
              <c:numCache>
                <c:formatCode>0.0%</c:formatCode>
                <c:ptCount val="13"/>
                <c:pt idx="0">
                  <c:v>2.3809523809523808E-2</c:v>
                </c:pt>
                <c:pt idx="1">
                  <c:v>0</c:v>
                </c:pt>
                <c:pt idx="2">
                  <c:v>2.3809523809523808E-2</c:v>
                </c:pt>
                <c:pt idx="3">
                  <c:v>2.3809523809523808E-2</c:v>
                </c:pt>
                <c:pt idx="4">
                  <c:v>4.7619047619047616E-2</c:v>
                </c:pt>
                <c:pt idx="5">
                  <c:v>7.1428571428571425E-2</c:v>
                </c:pt>
                <c:pt idx="6">
                  <c:v>0.11904761904761904</c:v>
                </c:pt>
                <c:pt idx="7">
                  <c:v>0.19047619047619047</c:v>
                </c:pt>
                <c:pt idx="8">
                  <c:v>0.21428571428571427</c:v>
                </c:pt>
                <c:pt idx="9">
                  <c:v>0.11904761904761904</c:v>
                </c:pt>
                <c:pt idx="10">
                  <c:v>9.5238095238095233E-2</c:v>
                </c:pt>
                <c:pt idx="11">
                  <c:v>4.7619047619047616E-2</c:v>
                </c:pt>
                <c:pt idx="12">
                  <c:v>2.3809523809523808E-2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5-470F-A25E-D16D4648D202}"/>
            </c:ext>
          </c:extLst>
        </c:ser>
        <c:ser>
          <c:idx val="1"/>
          <c:order val="1"/>
          <c:tx>
            <c:strRef>
              <c:f>Data!$P$41</c:f>
              <c:strCache>
                <c:ptCount val="1"/>
                <c:pt idx="0">
                  <c:v>hluk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Data!$J$42:$J$54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Data!$P$42:$P$54</c:f>
              <c:numCache>
                <c:formatCode>0.0%</c:formatCode>
                <c:ptCount val="13"/>
                <c:pt idx="0">
                  <c:v>0.04</c:v>
                </c:pt>
                <c:pt idx="1">
                  <c:v>0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0.08</c:v>
                </c:pt>
                <c:pt idx="6">
                  <c:v>0.08</c:v>
                </c:pt>
                <c:pt idx="7">
                  <c:v>0.12</c:v>
                </c:pt>
                <c:pt idx="8">
                  <c:v>0.2</c:v>
                </c:pt>
                <c:pt idx="9">
                  <c:v>0.16</c:v>
                </c:pt>
                <c:pt idx="10">
                  <c:v>0.12</c:v>
                </c:pt>
                <c:pt idx="11">
                  <c:v>0.04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5-470F-A25E-D16D4648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900784"/>
        <c:axId val="728377520"/>
      </c:lineChart>
      <c:catAx>
        <c:axId val="73290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Počet vybavených slov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377520"/>
        <c:crosses val="autoZero"/>
        <c:auto val="1"/>
        <c:lblAlgn val="ctr"/>
        <c:lblOffset val="100"/>
        <c:noMultiLvlLbl val="0"/>
      </c:catAx>
      <c:valAx>
        <c:axId val="7283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Rekatuvbá </a:t>
                </a:r>
                <a:r>
                  <a:rPr lang="cs-CZ" b="1" baseline="0"/>
                  <a:t> četnost</a:t>
                </a:r>
                <a:endParaRPr lang="cs-CZ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3290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820048181001719E-2"/>
          <c:y val="5.064723369529011E-2"/>
          <c:w val="0.88325193802430502"/>
          <c:h val="0.77612224993338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Data!$L$59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B-4E58-9628-CA8CCD678535}"/>
              </c:ext>
            </c:extLst>
          </c:dPt>
          <c:cat>
            <c:strRef>
              <c:f>Data!$K$60:$K$64</c:f>
              <c:strCache>
                <c:ptCount val="5"/>
                <c:pt idx="0">
                  <c:v>vůbec</c:v>
                </c:pt>
                <c:pt idx="1">
                  <c:v>málo</c:v>
                </c:pt>
                <c:pt idx="2">
                  <c:v>dost</c:v>
                </c:pt>
                <c:pt idx="3">
                  <c:v>zcela</c:v>
                </c:pt>
                <c:pt idx="4">
                  <c:v>neuvedeno</c:v>
                </c:pt>
              </c:strCache>
            </c:strRef>
          </c:cat>
          <c:val>
            <c:numRef>
              <c:f>Data!$L$60:$L$64</c:f>
              <c:numCache>
                <c:formatCode>General</c:formatCode>
                <c:ptCount val="5"/>
                <c:pt idx="0">
                  <c:v>7</c:v>
                </c:pt>
                <c:pt idx="1">
                  <c:v>20</c:v>
                </c:pt>
                <c:pt idx="2">
                  <c:v>28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E58-9628-CA8CCD678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949567"/>
        <c:axId val="728149040"/>
      </c:barChart>
      <c:catAx>
        <c:axId val="84194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Odpočatost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149040"/>
        <c:crosses val="autoZero"/>
        <c:auto val="1"/>
        <c:lblAlgn val="ctr"/>
        <c:lblOffset val="100"/>
        <c:noMultiLvlLbl val="0"/>
      </c:catAx>
      <c:valAx>
        <c:axId val="7281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Absolutní</a:t>
                </a:r>
                <a:r>
                  <a:rPr lang="cs-CZ" b="1" baseline="0"/>
                  <a:t> četnost</a:t>
                </a:r>
                <a:endParaRPr lang="cs-CZ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4194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Data!$P$59</c:f>
              <c:strCache>
                <c:ptCount val="1"/>
                <c:pt idx="0">
                  <c:v>ticho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Data!$K$60:$K$63</c:f>
              <c:strCache>
                <c:ptCount val="4"/>
                <c:pt idx="0">
                  <c:v>vůbec</c:v>
                </c:pt>
                <c:pt idx="1">
                  <c:v>málo</c:v>
                </c:pt>
                <c:pt idx="2">
                  <c:v>dost</c:v>
                </c:pt>
                <c:pt idx="3">
                  <c:v>zcela</c:v>
                </c:pt>
              </c:strCache>
            </c:strRef>
          </c:cat>
          <c:val>
            <c:numRef>
              <c:f>Data!$P$60:$P$63</c:f>
              <c:numCache>
                <c:formatCode>0.0%</c:formatCode>
                <c:ptCount val="4"/>
                <c:pt idx="0">
                  <c:v>6.9767441860465115E-2</c:v>
                </c:pt>
                <c:pt idx="1">
                  <c:v>0.23255813953488372</c:v>
                </c:pt>
                <c:pt idx="2">
                  <c:v>0.44186046511627908</c:v>
                </c:pt>
                <c:pt idx="3">
                  <c:v>0.2558139534883721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0-45A9-A82E-C414BFB8D3CD}"/>
            </c:ext>
          </c:extLst>
        </c:ser>
        <c:ser>
          <c:idx val="1"/>
          <c:order val="1"/>
          <c:tx>
            <c:strRef>
              <c:f>Data!$Q$59</c:f>
              <c:strCache>
                <c:ptCount val="1"/>
                <c:pt idx="0">
                  <c:v>hluk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Data!$K$60:$K$63</c:f>
              <c:strCache>
                <c:ptCount val="4"/>
                <c:pt idx="0">
                  <c:v>vůbec</c:v>
                </c:pt>
                <c:pt idx="1">
                  <c:v>málo</c:v>
                </c:pt>
                <c:pt idx="2">
                  <c:v>dost</c:v>
                </c:pt>
                <c:pt idx="3">
                  <c:v>zcela</c:v>
                </c:pt>
              </c:strCache>
            </c:strRef>
          </c:cat>
          <c:val>
            <c:numRef>
              <c:f>Data!$Q$60:$Q$63</c:f>
              <c:numCache>
                <c:formatCode>0.0%</c:formatCode>
                <c:ptCount val="4"/>
                <c:pt idx="0">
                  <c:v>0.15384615384615385</c:v>
                </c:pt>
                <c:pt idx="1">
                  <c:v>0.38461538461538464</c:v>
                </c:pt>
                <c:pt idx="2">
                  <c:v>0.34615384615384615</c:v>
                </c:pt>
                <c:pt idx="3">
                  <c:v>0.11538461538461539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0-45A9-A82E-C414BFB8D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032527"/>
        <c:axId val="728123120"/>
      </c:barChart>
      <c:catAx>
        <c:axId val="88603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Odpočatost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123120"/>
        <c:crosses val="autoZero"/>
        <c:auto val="1"/>
        <c:lblAlgn val="ctr"/>
        <c:lblOffset val="100"/>
        <c:noMultiLvlLbl val="0"/>
      </c:catAx>
      <c:valAx>
        <c:axId val="72812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Relativní četnost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8603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Data!$K$60</c:f>
              <c:strCache>
                <c:ptCount val="1"/>
                <c:pt idx="0">
                  <c:v>vůbec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Data!$P$59:$Q$59</c:f>
              <c:strCache>
                <c:ptCount val="2"/>
                <c:pt idx="0">
                  <c:v>ticho</c:v>
                </c:pt>
                <c:pt idx="1">
                  <c:v>hluk</c:v>
                </c:pt>
              </c:strCache>
            </c:strRef>
          </c:cat>
          <c:val>
            <c:numRef>
              <c:f>Data!$P$60:$Q$60</c:f>
              <c:numCache>
                <c:formatCode>0.0%</c:formatCode>
                <c:ptCount val="2"/>
                <c:pt idx="0">
                  <c:v>6.9767441860465115E-2</c:v>
                </c:pt>
                <c:pt idx="1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679-B289-E0A99CAF6829}"/>
            </c:ext>
          </c:extLst>
        </c:ser>
        <c:ser>
          <c:idx val="1"/>
          <c:order val="1"/>
          <c:tx>
            <c:strRef>
              <c:f>Data!$K$61</c:f>
              <c:strCache>
                <c:ptCount val="1"/>
                <c:pt idx="0">
                  <c:v>málo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Data!$P$59:$Q$59</c:f>
              <c:strCache>
                <c:ptCount val="2"/>
                <c:pt idx="0">
                  <c:v>ticho</c:v>
                </c:pt>
                <c:pt idx="1">
                  <c:v>hluk</c:v>
                </c:pt>
              </c:strCache>
            </c:strRef>
          </c:cat>
          <c:val>
            <c:numRef>
              <c:f>Data!$P$61:$Q$61</c:f>
              <c:numCache>
                <c:formatCode>0.0%</c:formatCode>
                <c:ptCount val="2"/>
                <c:pt idx="0">
                  <c:v>0.23255813953488372</c:v>
                </c:pt>
                <c:pt idx="1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A-4679-B289-E0A99CAF6829}"/>
            </c:ext>
          </c:extLst>
        </c:ser>
        <c:ser>
          <c:idx val="2"/>
          <c:order val="2"/>
          <c:tx>
            <c:strRef>
              <c:f>Data!$K$62</c:f>
              <c:strCache>
                <c:ptCount val="1"/>
                <c:pt idx="0">
                  <c:v>dost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Data!$P$59:$Q$59</c:f>
              <c:strCache>
                <c:ptCount val="2"/>
                <c:pt idx="0">
                  <c:v>ticho</c:v>
                </c:pt>
                <c:pt idx="1">
                  <c:v>hluk</c:v>
                </c:pt>
              </c:strCache>
            </c:strRef>
          </c:cat>
          <c:val>
            <c:numRef>
              <c:f>Data!$P$62:$Q$62</c:f>
              <c:numCache>
                <c:formatCode>0.0%</c:formatCode>
                <c:ptCount val="2"/>
                <c:pt idx="0">
                  <c:v>0.44186046511627908</c:v>
                </c:pt>
                <c:pt idx="1">
                  <c:v>0.34615384615384615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A-4679-B289-E0A99CAF6829}"/>
            </c:ext>
          </c:extLst>
        </c:ser>
        <c:ser>
          <c:idx val="3"/>
          <c:order val="3"/>
          <c:tx>
            <c:strRef>
              <c:f>Data!$K$63</c:f>
              <c:strCache>
                <c:ptCount val="1"/>
                <c:pt idx="0">
                  <c:v>zcela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Data!$P$59:$Q$59</c:f>
              <c:strCache>
                <c:ptCount val="2"/>
                <c:pt idx="0">
                  <c:v>ticho</c:v>
                </c:pt>
                <c:pt idx="1">
                  <c:v>hluk</c:v>
                </c:pt>
              </c:strCache>
            </c:strRef>
          </c:cat>
          <c:val>
            <c:numRef>
              <c:f>Data!$P$63:$Q$63</c:f>
              <c:numCache>
                <c:formatCode>0.0%</c:formatCode>
                <c:ptCount val="2"/>
                <c:pt idx="0">
                  <c:v>0.2558139534883721</c:v>
                </c:pt>
                <c:pt idx="1">
                  <c:v>0.11538461538461539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AA-4679-B289-E0A99CAF6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255279"/>
        <c:axId val="728352080"/>
      </c:barChart>
      <c:catAx>
        <c:axId val="88825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="1"/>
                  <a:t>Experimentální podmínka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8352080"/>
        <c:crosses val="autoZero"/>
        <c:auto val="1"/>
        <c:lblAlgn val="ctr"/>
        <c:lblOffset val="100"/>
        <c:noMultiLvlLbl val="0"/>
      </c:catAx>
      <c:valAx>
        <c:axId val="72835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Relativní četnost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8825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684487</xdr:colOff>
      <xdr:row>1</xdr:row>
      <xdr:rowOff>4874</xdr:rowOff>
    </xdr:from>
    <xdr:to>
      <xdr:col>21</xdr:col>
      <xdr:colOff>165027</xdr:colOff>
      <xdr:row>20</xdr:row>
      <xdr:rowOff>135673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1A86175-521C-6D97-3773-AC98F3255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234412</xdr:colOff>
      <xdr:row>1</xdr:row>
      <xdr:rowOff>4876</xdr:rowOff>
    </xdr:from>
    <xdr:to>
      <xdr:col>31</xdr:col>
      <xdr:colOff>60892</xdr:colOff>
      <xdr:row>20</xdr:row>
      <xdr:rowOff>142524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6F78FCC-D757-8AE9-17AB-5194F7389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154987</xdr:colOff>
      <xdr:row>21</xdr:row>
      <xdr:rowOff>109008</xdr:rowOff>
    </xdr:from>
    <xdr:to>
      <xdr:col>26</xdr:col>
      <xdr:colOff>527734</xdr:colOff>
      <xdr:row>42</xdr:row>
      <xdr:rowOff>162378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21CD9DD-54D1-71EF-45D0-7E1EDB4E4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686694</xdr:colOff>
      <xdr:row>21</xdr:row>
      <xdr:rowOff>125334</xdr:rowOff>
    </xdr:from>
    <xdr:to>
      <xdr:col>36</xdr:col>
      <xdr:colOff>20298</xdr:colOff>
      <xdr:row>43</xdr:row>
      <xdr:rowOff>30446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46A75ECD-1049-AB49-184B-B07B40212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25878</xdr:colOff>
      <xdr:row>44</xdr:row>
      <xdr:rowOff>75098</xdr:rowOff>
    </xdr:from>
    <xdr:to>
      <xdr:col>27</xdr:col>
      <xdr:colOff>224287</xdr:colOff>
      <xdr:row>66</xdr:row>
      <xdr:rowOff>50743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CB01E4F0-5543-20DD-BBF1-323E5A8BC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22832</xdr:colOff>
      <xdr:row>44</xdr:row>
      <xdr:rowOff>125334</xdr:rowOff>
    </xdr:from>
    <xdr:to>
      <xdr:col>36</xdr:col>
      <xdr:colOff>20297</xdr:colOff>
      <xdr:row>65</xdr:row>
      <xdr:rowOff>142082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D15C55C2-69B8-9CEA-8BB1-3EF469B65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144618</xdr:colOff>
      <xdr:row>74</xdr:row>
      <xdr:rowOff>33995</xdr:rowOff>
    </xdr:from>
    <xdr:to>
      <xdr:col>18</xdr:col>
      <xdr:colOff>669816</xdr:colOff>
      <xdr:row>99</xdr:row>
      <xdr:rowOff>147882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4C08F7A9-74C5-75E1-858E-89A161CB0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12685</xdr:colOff>
      <xdr:row>74</xdr:row>
      <xdr:rowOff>13699</xdr:rowOff>
    </xdr:from>
    <xdr:to>
      <xdr:col>31</xdr:col>
      <xdr:colOff>131933</xdr:colOff>
      <xdr:row>100</xdr:row>
      <xdr:rowOff>40596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223CCE94-9CE6-9BCE-33F2-1AB1F39C1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98586</xdr:colOff>
      <xdr:row>101</xdr:row>
      <xdr:rowOff>76403</xdr:rowOff>
    </xdr:from>
    <xdr:to>
      <xdr:col>21</xdr:col>
      <xdr:colOff>24648</xdr:colOff>
      <xdr:row>129</xdr:row>
      <xdr:rowOff>36971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FC028443-0C00-9805-DF07-376E41E64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tudie" displayName="DataStudie" ref="A1:G73" totalsRowShown="0" dataDxfId="7">
  <autoFilter ref="A1:G73" xr:uid="{00000000-000C-0000-FFFF-FFFF00000000}"/>
  <sortState xmlns:xlrd2="http://schemas.microsoft.com/office/spreadsheetml/2017/richdata2" ref="A2:G73">
    <sortCondition descending="1" ref="B1:B73"/>
  </sortState>
  <tableColumns count="7">
    <tableColumn id="1" xr3:uid="{00000000-0010-0000-0000-000001000000}" name="id" dataDxfId="6"/>
    <tableColumn id="2" xr3:uid="{00000000-0010-0000-0000-000002000000}" name="podminka" dataDxfId="5"/>
    <tableColumn id="3" xr3:uid="{00000000-0010-0000-0000-000003000000}" name="gender" dataDxfId="4"/>
    <tableColumn id="4" xr3:uid="{00000000-0010-0000-0000-000004000000}" name="spanek_h" dataDxfId="3"/>
    <tableColumn id="5" xr3:uid="{00000000-0010-0000-0000-000005000000}" name="odpocatost" dataDxfId="2"/>
    <tableColumn id="6" xr3:uid="{00000000-0010-0000-0000-000006000000}" name="slova" dataDxfId="1"/>
    <tableColumn id="7" xr3:uid="{00000000-0010-0000-0000-000007000000}" name="poznamk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zoomScale="70" zoomScaleNormal="70" workbookViewId="0">
      <pane ySplit="1" topLeftCell="A2" activePane="bottomLeft" state="frozen"/>
      <selection pane="bottomLeft" activeCell="AG16" sqref="AG16"/>
    </sheetView>
  </sheetViews>
  <sheetFormatPr defaultRowHeight="13.6"/>
  <cols>
    <col min="1" max="1" width="10" customWidth="1"/>
    <col min="2" max="2" width="14" customWidth="1"/>
    <col min="3" max="3" width="18" customWidth="1"/>
    <col min="4" max="4" width="14" customWidth="1"/>
    <col min="5" max="5" width="15" customWidth="1"/>
    <col min="6" max="6" width="12" customWidth="1"/>
    <col min="7" max="7" width="17.33203125" customWidth="1"/>
    <col min="10" max="10" width="11.33203125" customWidth="1"/>
    <col min="11" max="11" width="9.88671875" customWidth="1"/>
  </cols>
  <sheetData>
    <row r="1" spans="1:13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3">
      <c r="A2" s="1" t="s">
        <v>7</v>
      </c>
      <c r="B2" s="1" t="s">
        <v>8</v>
      </c>
      <c r="C2" s="1" t="s">
        <v>9</v>
      </c>
      <c r="D2" s="3">
        <v>7.7</v>
      </c>
      <c r="E2" s="4">
        <v>2</v>
      </c>
      <c r="F2" s="4">
        <v>10</v>
      </c>
      <c r="G2" s="5"/>
    </row>
    <row r="3" spans="1:13" ht="14.3">
      <c r="A3" s="1" t="s">
        <v>14</v>
      </c>
      <c r="B3" s="1" t="s">
        <v>8</v>
      </c>
      <c r="C3" s="1" t="s">
        <v>15</v>
      </c>
      <c r="D3" s="3">
        <v>7.8</v>
      </c>
      <c r="E3" s="4">
        <v>2</v>
      </c>
      <c r="F3" s="4">
        <v>11</v>
      </c>
      <c r="G3" s="5"/>
      <c r="J3" s="13" t="s">
        <v>128</v>
      </c>
      <c r="K3" t="s">
        <v>129</v>
      </c>
      <c r="L3" t="s">
        <v>131</v>
      </c>
      <c r="M3" t="s">
        <v>132</v>
      </c>
    </row>
    <row r="4" spans="1:13">
      <c r="A4" s="1" t="s">
        <v>16</v>
      </c>
      <c r="B4" s="1" t="s">
        <v>8</v>
      </c>
      <c r="C4" s="1" t="s">
        <v>15</v>
      </c>
      <c r="D4" s="3">
        <v>6</v>
      </c>
      <c r="E4" s="4">
        <v>3</v>
      </c>
      <c r="F4" s="4">
        <v>8</v>
      </c>
      <c r="G4" s="5"/>
      <c r="J4" t="s">
        <v>8</v>
      </c>
      <c r="K4">
        <f>COUNTIF(DataStudie[podminka],"ticho")</f>
        <v>44</v>
      </c>
      <c r="L4" s="11">
        <f>K4/$K$6</f>
        <v>0.61111111111111116</v>
      </c>
      <c r="M4" s="11">
        <f>L4</f>
        <v>0.61111111111111116</v>
      </c>
    </row>
    <row r="5" spans="1:13">
      <c r="A5" s="1" t="s">
        <v>18</v>
      </c>
      <c r="B5" s="1" t="s">
        <v>8</v>
      </c>
      <c r="C5" s="1" t="s">
        <v>12</v>
      </c>
      <c r="D5" s="3">
        <v>8.8000000000000007</v>
      </c>
      <c r="E5" s="4">
        <v>2</v>
      </c>
      <c r="F5" s="4">
        <v>11</v>
      </c>
      <c r="G5" s="5"/>
      <c r="J5" t="s">
        <v>11</v>
      </c>
      <c r="K5">
        <f>COUNTIF(DataStudie[podminka],"hluk")</f>
        <v>28</v>
      </c>
      <c r="L5" s="11">
        <f>K5/$K$6</f>
        <v>0.3888888888888889</v>
      </c>
      <c r="M5" s="11">
        <f t="shared" ref="M5:M6" si="0">L5</f>
        <v>0.3888888888888889</v>
      </c>
    </row>
    <row r="6" spans="1:13">
      <c r="A6" s="1" t="s">
        <v>21</v>
      </c>
      <c r="B6" s="1" t="s">
        <v>8</v>
      </c>
      <c r="C6" s="1" t="s">
        <v>15</v>
      </c>
      <c r="D6" s="3">
        <v>5</v>
      </c>
      <c r="E6" s="4">
        <v>4</v>
      </c>
      <c r="F6" s="4">
        <v>7</v>
      </c>
      <c r="G6" s="5"/>
      <c r="J6" t="s">
        <v>130</v>
      </c>
      <c r="K6">
        <f>SUM(K4:K5)</f>
        <v>72</v>
      </c>
      <c r="L6" s="11">
        <f>K6/$K$6</f>
        <v>1</v>
      </c>
      <c r="M6" s="11">
        <f t="shared" si="0"/>
        <v>1</v>
      </c>
    </row>
    <row r="7" spans="1:13">
      <c r="A7" s="1" t="s">
        <v>22</v>
      </c>
      <c r="B7" s="1" t="s">
        <v>8</v>
      </c>
      <c r="C7" s="1" t="s">
        <v>15</v>
      </c>
      <c r="D7" s="3">
        <v>9</v>
      </c>
      <c r="E7" s="4">
        <v>4</v>
      </c>
      <c r="F7" s="4">
        <v>5</v>
      </c>
      <c r="G7" s="5"/>
    </row>
    <row r="8" spans="1:13">
      <c r="A8" s="1" t="s">
        <v>24</v>
      </c>
      <c r="B8" s="1" t="s">
        <v>8</v>
      </c>
      <c r="C8" s="1" t="s">
        <v>15</v>
      </c>
      <c r="D8" s="3">
        <v>7.7</v>
      </c>
      <c r="E8" s="4">
        <v>4</v>
      </c>
      <c r="F8" s="4">
        <v>6</v>
      </c>
      <c r="G8" s="5"/>
    </row>
    <row r="9" spans="1:13" ht="14.3">
      <c r="A9" s="1" t="s">
        <v>28</v>
      </c>
      <c r="B9" s="1" t="s">
        <v>8</v>
      </c>
      <c r="C9" s="1" t="s">
        <v>9</v>
      </c>
      <c r="D9" s="3">
        <v>7</v>
      </c>
      <c r="E9" s="4">
        <v>4</v>
      </c>
      <c r="F9" s="4">
        <v>7</v>
      </c>
      <c r="G9" s="5"/>
      <c r="J9" s="13" t="s">
        <v>142</v>
      </c>
      <c r="K9" t="s">
        <v>129</v>
      </c>
      <c r="L9" t="s">
        <v>136</v>
      </c>
      <c r="M9" t="s">
        <v>137</v>
      </c>
    </row>
    <row r="10" spans="1:13">
      <c r="A10" s="1" t="s">
        <v>29</v>
      </c>
      <c r="B10" s="1" t="s">
        <v>8</v>
      </c>
      <c r="C10" s="1" t="s">
        <v>15</v>
      </c>
      <c r="D10" s="3">
        <v>6</v>
      </c>
      <c r="E10" s="4">
        <v>3</v>
      </c>
      <c r="F10" s="4">
        <v>7</v>
      </c>
      <c r="G10" s="5"/>
      <c r="J10" t="s">
        <v>15</v>
      </c>
      <c r="K10">
        <f>COUNTIF(DataStudie[gender],J10)</f>
        <v>35</v>
      </c>
      <c r="L10" s="11">
        <f>K10/$K$15</f>
        <v>0.4861111111111111</v>
      </c>
      <c r="M10" s="11">
        <f>K10/$K$16</f>
        <v>0.50724637681159424</v>
      </c>
    </row>
    <row r="11" spans="1:13">
      <c r="A11" s="1" t="s">
        <v>30</v>
      </c>
      <c r="B11" s="1" t="s">
        <v>8</v>
      </c>
      <c r="C11" s="1" t="s">
        <v>15</v>
      </c>
      <c r="D11" s="3">
        <v>9.1999999999999993</v>
      </c>
      <c r="E11" s="4">
        <v>3</v>
      </c>
      <c r="F11" s="4">
        <v>7</v>
      </c>
      <c r="G11" s="5"/>
      <c r="J11" t="s">
        <v>12</v>
      </c>
      <c r="K11">
        <f>COUNTIF(DataStudie[gender],J11)</f>
        <v>25</v>
      </c>
      <c r="L11" s="11">
        <f t="shared" ref="L11:L13" si="1">K11/$K$15</f>
        <v>0.34722222222222221</v>
      </c>
      <c r="M11" s="11">
        <f t="shared" ref="M11:M12" si="2">K11/$K$16</f>
        <v>0.36231884057971014</v>
      </c>
    </row>
    <row r="12" spans="1:13">
      <c r="A12" s="1" t="s">
        <v>31</v>
      </c>
      <c r="B12" s="1" t="s">
        <v>8</v>
      </c>
      <c r="C12" s="1" t="s">
        <v>12</v>
      </c>
      <c r="D12" s="3">
        <v>8.1999999999999993</v>
      </c>
      <c r="E12" s="4">
        <v>4</v>
      </c>
      <c r="F12" s="4">
        <v>6</v>
      </c>
      <c r="G12" s="5"/>
      <c r="J12" t="s">
        <v>9</v>
      </c>
      <c r="K12">
        <f>COUNTIF(DataStudie[gender],J12)</f>
        <v>9</v>
      </c>
      <c r="L12" s="11">
        <f t="shared" si="1"/>
        <v>0.125</v>
      </c>
      <c r="M12" s="11">
        <f t="shared" si="2"/>
        <v>0.13043478260869565</v>
      </c>
    </row>
    <row r="13" spans="1:13">
      <c r="A13" s="1" t="s">
        <v>33</v>
      </c>
      <c r="B13" s="1" t="s">
        <v>8</v>
      </c>
      <c r="C13" s="1" t="s">
        <v>15</v>
      </c>
      <c r="D13" s="3">
        <v>8</v>
      </c>
      <c r="E13" s="4">
        <v>1</v>
      </c>
      <c r="F13" s="4">
        <v>6</v>
      </c>
      <c r="G13" s="5"/>
      <c r="J13" t="s">
        <v>133</v>
      </c>
      <c r="K13">
        <f>COUNTBLANK(DataStudie[gender])</f>
        <v>3</v>
      </c>
      <c r="L13" s="11">
        <f t="shared" si="1"/>
        <v>4.1666666666666664E-2</v>
      </c>
    </row>
    <row r="14" spans="1:13">
      <c r="A14" s="1" t="s">
        <v>37</v>
      </c>
      <c r="B14" s="1" t="s">
        <v>8</v>
      </c>
      <c r="C14" s="1" t="s">
        <v>15</v>
      </c>
      <c r="D14" s="3">
        <v>7.2</v>
      </c>
      <c r="E14" s="4">
        <v>3</v>
      </c>
      <c r="F14" s="4">
        <v>12</v>
      </c>
      <c r="G14" s="5"/>
    </row>
    <row r="15" spans="1:13">
      <c r="A15" s="1" t="s">
        <v>38</v>
      </c>
      <c r="B15" s="1" t="s">
        <v>8</v>
      </c>
      <c r="C15" s="1" t="s">
        <v>15</v>
      </c>
      <c r="D15" s="3">
        <v>7.5</v>
      </c>
      <c r="E15" s="4">
        <v>2</v>
      </c>
      <c r="F15" s="4">
        <v>9</v>
      </c>
      <c r="G15" s="5"/>
      <c r="J15" t="s">
        <v>134</v>
      </c>
      <c r="K15">
        <f>SUM(K10:K13)</f>
        <v>72</v>
      </c>
    </row>
    <row r="16" spans="1:13">
      <c r="A16" s="1" t="s">
        <v>40</v>
      </c>
      <c r="B16" s="1" t="s">
        <v>8</v>
      </c>
      <c r="C16" s="1" t="s">
        <v>12</v>
      </c>
      <c r="D16" s="3"/>
      <c r="E16" s="4">
        <v>4</v>
      </c>
      <c r="F16" s="4">
        <v>9</v>
      </c>
      <c r="G16" s="5" t="s">
        <v>20</v>
      </c>
      <c r="J16" t="s">
        <v>135</v>
      </c>
      <c r="K16">
        <f>SUM(K10:K12)</f>
        <v>69</v>
      </c>
    </row>
    <row r="17" spans="1:18">
      <c r="A17" s="1" t="s">
        <v>41</v>
      </c>
      <c r="B17" s="1" t="s">
        <v>8</v>
      </c>
      <c r="C17" s="1" t="s">
        <v>15</v>
      </c>
      <c r="D17" s="3">
        <v>7.8</v>
      </c>
      <c r="E17" s="4">
        <v>3</v>
      </c>
      <c r="F17" s="4">
        <v>4</v>
      </c>
      <c r="G17" s="5"/>
    </row>
    <row r="18" spans="1:18">
      <c r="A18" s="1" t="s">
        <v>42</v>
      </c>
      <c r="B18" s="1" t="s">
        <v>8</v>
      </c>
      <c r="C18" s="1" t="s">
        <v>15</v>
      </c>
      <c r="D18" s="3">
        <v>5.7</v>
      </c>
      <c r="E18" s="4">
        <v>3</v>
      </c>
      <c r="F18" s="4">
        <v>10</v>
      </c>
      <c r="G18" s="5"/>
      <c r="J18" t="s">
        <v>143</v>
      </c>
    </row>
    <row r="19" spans="1:18">
      <c r="A19" s="1" t="s">
        <v>43</v>
      </c>
      <c r="B19" s="1" t="s">
        <v>8</v>
      </c>
      <c r="C19" s="1" t="s">
        <v>15</v>
      </c>
      <c r="D19" s="3"/>
      <c r="E19" s="4">
        <v>2</v>
      </c>
      <c r="F19" s="4">
        <v>8</v>
      </c>
      <c r="G19" s="5" t="s">
        <v>20</v>
      </c>
      <c r="J19" t="s">
        <v>138</v>
      </c>
      <c r="K19" t="s">
        <v>139</v>
      </c>
      <c r="L19" t="s">
        <v>140</v>
      </c>
      <c r="M19" t="s">
        <v>129</v>
      </c>
    </row>
    <row r="20" spans="1:18">
      <c r="A20" s="1" t="s">
        <v>45</v>
      </c>
      <c r="B20" s="1" t="s">
        <v>8</v>
      </c>
      <c r="C20" s="1" t="s">
        <v>12</v>
      </c>
      <c r="D20" s="3">
        <v>6.5</v>
      </c>
      <c r="E20" s="4">
        <v>3</v>
      </c>
      <c r="F20" s="4">
        <v>5</v>
      </c>
      <c r="G20" s="5"/>
      <c r="J20">
        <v>3.5</v>
      </c>
      <c r="K20">
        <v>4.5</v>
      </c>
      <c r="L20">
        <f>4</f>
        <v>4</v>
      </c>
      <c r="M20">
        <f>COUNTIFS(DataStudie[spanek_h], "&gt;"&amp;J20, DataStudie[spanek_h], "&lt;="&amp;K20)</f>
        <v>3</v>
      </c>
    </row>
    <row r="21" spans="1:18">
      <c r="A21" s="1" t="s">
        <v>46</v>
      </c>
      <c r="B21" s="1" t="s">
        <v>8</v>
      </c>
      <c r="C21" s="1" t="s">
        <v>12</v>
      </c>
      <c r="D21" s="3">
        <v>7</v>
      </c>
      <c r="E21" s="4">
        <v>3</v>
      </c>
      <c r="F21" s="4">
        <v>4</v>
      </c>
      <c r="G21" s="5"/>
      <c r="J21">
        <v>4.5</v>
      </c>
      <c r="K21">
        <v>5.5</v>
      </c>
      <c r="L21">
        <v>5</v>
      </c>
      <c r="M21">
        <f>COUNTIFS(DataStudie[spanek_h], "&gt;"&amp;J21, DataStudie[spanek_h], "&lt;="&amp;K21)</f>
        <v>6</v>
      </c>
    </row>
    <row r="22" spans="1:18">
      <c r="A22" s="1" t="s">
        <v>48</v>
      </c>
      <c r="B22" s="1" t="s">
        <v>8</v>
      </c>
      <c r="C22" s="1" t="s">
        <v>12</v>
      </c>
      <c r="D22" s="3">
        <v>8.8000000000000007</v>
      </c>
      <c r="E22" s="4">
        <v>2</v>
      </c>
      <c r="F22" s="4">
        <v>7</v>
      </c>
      <c r="G22" s="5"/>
      <c r="J22">
        <v>5.5</v>
      </c>
      <c r="K22">
        <v>6.5</v>
      </c>
      <c r="L22">
        <v>6</v>
      </c>
      <c r="M22">
        <f>COUNTIFS(DataStudie[spanek_h], "&gt;"&amp;J22, DataStudie[spanek_h], "&lt;="&amp;K22)</f>
        <v>14</v>
      </c>
    </row>
    <row r="23" spans="1:18">
      <c r="A23" s="1" t="s">
        <v>49</v>
      </c>
      <c r="B23" s="1" t="s">
        <v>8</v>
      </c>
      <c r="C23" s="1" t="s">
        <v>9</v>
      </c>
      <c r="D23" s="3">
        <v>6.7</v>
      </c>
      <c r="E23" s="4">
        <v>3</v>
      </c>
      <c r="F23" s="4"/>
      <c r="G23" s="5" t="s">
        <v>35</v>
      </c>
      <c r="J23">
        <v>6.5</v>
      </c>
      <c r="K23">
        <v>7.5</v>
      </c>
      <c r="L23">
        <v>7</v>
      </c>
      <c r="M23">
        <f>COUNTIFS(DataStudie[spanek_h], "&gt;"&amp;J23, DataStudie[spanek_h], "&lt;="&amp;K23)</f>
        <v>18</v>
      </c>
    </row>
    <row r="24" spans="1:18">
      <c r="A24" s="1" t="s">
        <v>51</v>
      </c>
      <c r="B24" s="1" t="s">
        <v>8</v>
      </c>
      <c r="C24" s="1"/>
      <c r="D24" s="3">
        <v>7</v>
      </c>
      <c r="E24" s="4">
        <v>2</v>
      </c>
      <c r="F24" s="4">
        <v>7</v>
      </c>
      <c r="G24" s="5" t="s">
        <v>52</v>
      </c>
      <c r="J24">
        <v>7.5</v>
      </c>
      <c r="K24">
        <v>8.5</v>
      </c>
      <c r="L24">
        <v>8</v>
      </c>
      <c r="M24">
        <f>COUNTIFS(DataStudie[spanek_h], "&gt;"&amp;J24, DataStudie[spanek_h], "&lt;="&amp;K24)</f>
        <v>16</v>
      </c>
    </row>
    <row r="25" spans="1:18">
      <c r="A25" s="1" t="s">
        <v>54</v>
      </c>
      <c r="B25" s="1" t="s">
        <v>8</v>
      </c>
      <c r="C25" s="1" t="s">
        <v>12</v>
      </c>
      <c r="D25" s="3">
        <v>8</v>
      </c>
      <c r="E25" s="4">
        <v>3</v>
      </c>
      <c r="F25" s="4">
        <v>9</v>
      </c>
      <c r="G25" s="5"/>
      <c r="J25">
        <v>8.5</v>
      </c>
      <c r="K25">
        <v>9.5</v>
      </c>
      <c r="L25">
        <v>9</v>
      </c>
      <c r="M25">
        <f>COUNTIFS(DataStudie[spanek_h], "&gt;"&amp;J25, DataStudie[spanek_h], "&lt;="&amp;K25)</f>
        <v>7</v>
      </c>
    </row>
    <row r="26" spans="1:18">
      <c r="A26" s="1" t="s">
        <v>55</v>
      </c>
      <c r="B26" s="1" t="s">
        <v>8</v>
      </c>
      <c r="C26" s="1" t="s">
        <v>15</v>
      </c>
      <c r="D26" s="3">
        <v>6.2</v>
      </c>
      <c r="E26" s="4">
        <v>3</v>
      </c>
      <c r="F26" s="4">
        <v>8</v>
      </c>
      <c r="G26" s="5"/>
    </row>
    <row r="27" spans="1:18">
      <c r="A27" s="1" t="s">
        <v>57</v>
      </c>
      <c r="B27" s="1" t="s">
        <v>8</v>
      </c>
      <c r="C27" s="1" t="s">
        <v>9</v>
      </c>
      <c r="D27" s="3">
        <v>4</v>
      </c>
      <c r="E27" s="4">
        <v>3</v>
      </c>
      <c r="F27" s="4">
        <v>8</v>
      </c>
      <c r="G27" s="5"/>
      <c r="M27">
        <f>SUM(M20:M25)</f>
        <v>64</v>
      </c>
    </row>
    <row r="28" spans="1:18">
      <c r="A28" s="1" t="s">
        <v>58</v>
      </c>
      <c r="B28" s="1" t="s">
        <v>8</v>
      </c>
      <c r="C28" s="1" t="s">
        <v>15</v>
      </c>
      <c r="D28" s="3">
        <v>5.5</v>
      </c>
      <c r="E28" s="4">
        <v>3</v>
      </c>
      <c r="F28" s="4">
        <v>2</v>
      </c>
      <c r="G28" s="5"/>
    </row>
    <row r="29" spans="1:18" ht="14.3">
      <c r="A29" s="1" t="s">
        <v>59</v>
      </c>
      <c r="B29" s="1" t="s">
        <v>8</v>
      </c>
      <c r="C29" s="1" t="s">
        <v>12</v>
      </c>
      <c r="D29" s="3"/>
      <c r="E29" s="4">
        <v>3</v>
      </c>
      <c r="F29" s="4">
        <v>7</v>
      </c>
      <c r="G29" s="5" t="s">
        <v>20</v>
      </c>
      <c r="J29" s="13" t="s">
        <v>143</v>
      </c>
      <c r="M29" t="s">
        <v>129</v>
      </c>
      <c r="P29" t="s">
        <v>131</v>
      </c>
    </row>
    <row r="30" spans="1:18">
      <c r="A30" s="1" t="s">
        <v>60</v>
      </c>
      <c r="B30" s="1" t="s">
        <v>8</v>
      </c>
      <c r="C30" s="1" t="s">
        <v>15</v>
      </c>
      <c r="D30" s="3">
        <v>6.8</v>
      </c>
      <c r="E30" s="4">
        <v>1</v>
      </c>
      <c r="F30" s="4">
        <v>9</v>
      </c>
      <c r="G30" s="5"/>
      <c r="J30" t="s">
        <v>138</v>
      </c>
      <c r="K30" t="s">
        <v>139</v>
      </c>
      <c r="L30" t="s">
        <v>140</v>
      </c>
      <c r="M30" t="s">
        <v>130</v>
      </c>
      <c r="N30" t="s">
        <v>8</v>
      </c>
      <c r="O30" t="s">
        <v>11</v>
      </c>
      <c r="P30" t="s">
        <v>130</v>
      </c>
      <c r="Q30" t="s">
        <v>8</v>
      </c>
      <c r="R30" t="s">
        <v>11</v>
      </c>
    </row>
    <row r="31" spans="1:18">
      <c r="A31" s="1" t="s">
        <v>61</v>
      </c>
      <c r="B31" s="1" t="s">
        <v>8</v>
      </c>
      <c r="C31" s="1" t="s">
        <v>15</v>
      </c>
      <c r="D31" s="3">
        <v>5.2</v>
      </c>
      <c r="E31" s="4">
        <v>4</v>
      </c>
      <c r="F31" s="4">
        <v>3</v>
      </c>
      <c r="G31" s="5"/>
      <c r="J31">
        <v>3.5</v>
      </c>
      <c r="K31">
        <v>4.5</v>
      </c>
      <c r="L31">
        <f>4</f>
        <v>4</v>
      </c>
      <c r="M31">
        <f>COUNTIFS(DataStudie[spanek_h],"&gt;"&amp;J31, DataStudie[spanek_h], "&lt;="&amp;K31)</f>
        <v>3</v>
      </c>
      <c r="N31" s="12">
        <f>COUNTIFS(DataStudie[spanek_h],"&gt;"&amp;J31, DataStudie[spanek_h], "&lt;="&amp;K31, DataStudie[podminka], "ticho")</f>
        <v>1</v>
      </c>
      <c r="O31" s="12">
        <f>COUNTIFS(DataStudie[spanek_h],"&gt;"&amp;J31, DataStudie[spanek_h], "&lt;="&amp;K31, DataStudie[podminka], "hluk")</f>
        <v>2</v>
      </c>
      <c r="P31" s="11">
        <f>M31/M$38</f>
        <v>4.6875E-2</v>
      </c>
      <c r="Q31" s="11">
        <f t="shared" ref="Q31:R31" si="3">N31/N$38</f>
        <v>2.5000000000000001E-2</v>
      </c>
      <c r="R31" s="11">
        <f t="shared" si="3"/>
        <v>8.3333333333333329E-2</v>
      </c>
    </row>
    <row r="32" spans="1:18">
      <c r="A32" s="1" t="s">
        <v>62</v>
      </c>
      <c r="B32" s="1" t="s">
        <v>8</v>
      </c>
      <c r="C32" s="1" t="s">
        <v>12</v>
      </c>
      <c r="D32" s="3">
        <v>8.6999999999999993</v>
      </c>
      <c r="E32" s="4">
        <v>2</v>
      </c>
      <c r="F32" s="4">
        <v>10</v>
      </c>
      <c r="G32" s="5"/>
      <c r="J32">
        <v>4.5</v>
      </c>
      <c r="K32">
        <v>5.5</v>
      </c>
      <c r="L32">
        <v>5</v>
      </c>
      <c r="M32">
        <f>COUNTIFS(DataStudie[spanek_h],"&gt;"&amp;J32, DataStudie[spanek_h], "&lt;="&amp;K32)</f>
        <v>6</v>
      </c>
      <c r="N32" s="12">
        <f>COUNTIFS(DataStudie[spanek_h],"&gt;"&amp;J32, DataStudie[spanek_h], "&lt;="&amp;K32, DataStudie[podminka], "ticho")</f>
        <v>3</v>
      </c>
      <c r="O32" s="12">
        <f>COUNTIFS(DataStudie[spanek_h],"&gt;"&amp;J32, DataStudie[spanek_h], "&lt;="&amp;K32, DataStudie[podminka], "hluk")</f>
        <v>3</v>
      </c>
      <c r="P32" s="11">
        <f t="shared" ref="P32:P36" si="4">M32/M$38</f>
        <v>9.375E-2</v>
      </c>
      <c r="Q32" s="11">
        <f t="shared" ref="Q32:Q36" si="5">N32/N$38</f>
        <v>7.4999999999999997E-2</v>
      </c>
      <c r="R32" s="11">
        <f t="shared" ref="R32:R36" si="6">O32/O$38</f>
        <v>0.125</v>
      </c>
    </row>
    <row r="33" spans="1:18">
      <c r="A33" s="1" t="s">
        <v>64</v>
      </c>
      <c r="B33" s="1" t="s">
        <v>8</v>
      </c>
      <c r="C33" s="1" t="s">
        <v>15</v>
      </c>
      <c r="D33" s="3">
        <v>8.5</v>
      </c>
      <c r="E33" s="4">
        <v>3</v>
      </c>
      <c r="F33" s="4">
        <v>8</v>
      </c>
      <c r="G33" s="5"/>
      <c r="J33">
        <v>5.5</v>
      </c>
      <c r="K33">
        <v>6.5</v>
      </c>
      <c r="L33">
        <v>6</v>
      </c>
      <c r="M33">
        <f>COUNTIFS(DataStudie[spanek_h],"&gt;"&amp;J33, DataStudie[spanek_h], "&lt;="&amp;K33)</f>
        <v>14</v>
      </c>
      <c r="N33" s="12">
        <f>COUNTIFS(DataStudie[spanek_h],"&gt;"&amp;J33, DataStudie[spanek_h], "&lt;="&amp;K33, DataStudie[podminka], "ticho")</f>
        <v>7</v>
      </c>
      <c r="O33" s="12">
        <f>COUNTIFS(DataStudie[spanek_h],"&gt;"&amp;J33, DataStudie[spanek_h], "&lt;="&amp;K33, DataStudie[podminka], "hluk")</f>
        <v>7</v>
      </c>
      <c r="P33" s="11">
        <f t="shared" si="4"/>
        <v>0.21875</v>
      </c>
      <c r="Q33" s="11">
        <f t="shared" si="5"/>
        <v>0.17499999999999999</v>
      </c>
      <c r="R33" s="11">
        <f t="shared" si="6"/>
        <v>0.29166666666666669</v>
      </c>
    </row>
    <row r="34" spans="1:18">
      <c r="A34" s="1" t="s">
        <v>66</v>
      </c>
      <c r="B34" s="1" t="s">
        <v>8</v>
      </c>
      <c r="C34" s="1" t="s">
        <v>12</v>
      </c>
      <c r="D34" s="3"/>
      <c r="E34" s="4"/>
      <c r="F34" s="4">
        <v>10</v>
      </c>
      <c r="G34" s="5" t="s">
        <v>67</v>
      </c>
      <c r="J34">
        <v>6.5</v>
      </c>
      <c r="K34">
        <v>7.5</v>
      </c>
      <c r="L34">
        <v>7</v>
      </c>
      <c r="M34">
        <f>COUNTIFS(DataStudie[spanek_h],"&gt;"&amp;J34, DataStudie[spanek_h], "&lt;="&amp;K34)</f>
        <v>18</v>
      </c>
      <c r="N34" s="12">
        <f>COUNTIFS(DataStudie[spanek_h],"&gt;"&amp;J34, DataStudie[spanek_h], "&lt;="&amp;K34, DataStudie[podminka], "ticho")</f>
        <v>11</v>
      </c>
      <c r="O34" s="12">
        <f>COUNTIFS(DataStudie[spanek_h],"&gt;"&amp;J34, DataStudie[spanek_h], "&lt;="&amp;K34, DataStudie[podminka], "hluk")</f>
        <v>7</v>
      </c>
      <c r="P34" s="11">
        <f t="shared" si="4"/>
        <v>0.28125</v>
      </c>
      <c r="Q34" s="11">
        <f t="shared" si="5"/>
        <v>0.27500000000000002</v>
      </c>
      <c r="R34" s="11">
        <f t="shared" si="6"/>
        <v>0.29166666666666669</v>
      </c>
    </row>
    <row r="35" spans="1:18">
      <c r="A35" s="1" t="s">
        <v>69</v>
      </c>
      <c r="B35" s="1" t="s">
        <v>8</v>
      </c>
      <c r="C35" s="1"/>
      <c r="D35" s="3">
        <v>7.2</v>
      </c>
      <c r="E35" s="4">
        <v>2</v>
      </c>
      <c r="F35" s="4">
        <v>7</v>
      </c>
      <c r="G35" s="5" t="s">
        <v>52</v>
      </c>
      <c r="J35">
        <v>7.5</v>
      </c>
      <c r="K35">
        <v>8.5</v>
      </c>
      <c r="L35">
        <v>8</v>
      </c>
      <c r="M35">
        <f>COUNTIFS(DataStudie[spanek_h],"&gt;"&amp;J35, DataStudie[spanek_h], "&lt;="&amp;K35)</f>
        <v>16</v>
      </c>
      <c r="N35" s="12">
        <f>COUNTIFS(DataStudie[spanek_h],"&gt;"&amp;J35, DataStudie[spanek_h], "&lt;="&amp;K35, DataStudie[podminka], "ticho")</f>
        <v>12</v>
      </c>
      <c r="O35" s="12">
        <f>COUNTIFS(DataStudie[spanek_h],"&gt;"&amp;J35, DataStudie[spanek_h], "&lt;="&amp;K35, DataStudie[podminka], "hluk")</f>
        <v>4</v>
      </c>
      <c r="P35" s="11">
        <f t="shared" si="4"/>
        <v>0.25</v>
      </c>
      <c r="Q35" s="11">
        <f t="shared" si="5"/>
        <v>0.3</v>
      </c>
      <c r="R35" s="11">
        <f t="shared" si="6"/>
        <v>0.16666666666666666</v>
      </c>
    </row>
    <row r="36" spans="1:18">
      <c r="A36" s="1" t="s">
        <v>70</v>
      </c>
      <c r="B36" s="1" t="s">
        <v>8</v>
      </c>
      <c r="C36" s="1" t="s">
        <v>15</v>
      </c>
      <c r="D36" s="3">
        <v>7.2</v>
      </c>
      <c r="E36" s="4">
        <v>2</v>
      </c>
      <c r="F36" s="4">
        <v>8</v>
      </c>
      <c r="G36" s="5"/>
      <c r="J36">
        <v>8.5</v>
      </c>
      <c r="K36">
        <v>9.5</v>
      </c>
      <c r="L36">
        <v>9</v>
      </c>
      <c r="M36">
        <f>COUNTIFS(DataStudie[spanek_h],"&gt;"&amp;J36, DataStudie[spanek_h], "&lt;="&amp;K36)</f>
        <v>7</v>
      </c>
      <c r="N36" s="12">
        <f>COUNTIFS(DataStudie[spanek_h],"&gt;"&amp;J36, DataStudie[spanek_h], "&lt;="&amp;K36, DataStudie[podminka], "ticho")</f>
        <v>6</v>
      </c>
      <c r="O36" s="12">
        <f>COUNTIFS(DataStudie[spanek_h],"&gt;"&amp;J36, DataStudie[spanek_h], "&lt;="&amp;K36, DataStudie[podminka], "hluk")</f>
        <v>1</v>
      </c>
      <c r="P36" s="11">
        <f t="shared" si="4"/>
        <v>0.109375</v>
      </c>
      <c r="Q36" s="11">
        <f t="shared" si="5"/>
        <v>0.15</v>
      </c>
      <c r="R36" s="11">
        <f t="shared" si="6"/>
        <v>4.1666666666666664E-2</v>
      </c>
    </row>
    <row r="37" spans="1:18">
      <c r="A37" s="1" t="s">
        <v>74</v>
      </c>
      <c r="B37" s="1" t="s">
        <v>8</v>
      </c>
      <c r="C37" s="1" t="s">
        <v>12</v>
      </c>
      <c r="D37" s="3">
        <v>7.8</v>
      </c>
      <c r="E37" s="4">
        <v>4</v>
      </c>
      <c r="F37" s="4">
        <v>8</v>
      </c>
      <c r="G37" s="5"/>
      <c r="N37" s="12"/>
      <c r="O37" s="12"/>
    </row>
    <row r="38" spans="1:18">
      <c r="A38" s="1" t="s">
        <v>75</v>
      </c>
      <c r="B38" s="1" t="s">
        <v>8</v>
      </c>
      <c r="C38" s="1" t="s">
        <v>12</v>
      </c>
      <c r="D38" s="3">
        <v>7.7</v>
      </c>
      <c r="E38" s="4">
        <v>3</v>
      </c>
      <c r="F38" s="4">
        <v>8</v>
      </c>
      <c r="G38" s="5"/>
      <c r="L38" t="s">
        <v>141</v>
      </c>
      <c r="M38">
        <f>SUM(M31:M36)</f>
        <v>64</v>
      </c>
      <c r="N38">
        <f t="shared" ref="N38:O38" si="7">SUM(N31:N36)</f>
        <v>40</v>
      </c>
      <c r="O38">
        <f t="shared" si="7"/>
        <v>24</v>
      </c>
    </row>
    <row r="39" spans="1:18">
      <c r="A39" s="1" t="s">
        <v>76</v>
      </c>
      <c r="B39" s="1" t="s">
        <v>8</v>
      </c>
      <c r="C39" s="1" t="s">
        <v>12</v>
      </c>
      <c r="D39" s="3">
        <v>8.1999999999999993</v>
      </c>
      <c r="E39" s="4">
        <v>1</v>
      </c>
      <c r="F39" s="4">
        <v>0</v>
      </c>
      <c r="G39" s="5"/>
    </row>
    <row r="40" spans="1:18">
      <c r="A40" s="1" t="s">
        <v>78</v>
      </c>
      <c r="B40" s="1" t="s">
        <v>8</v>
      </c>
      <c r="C40" s="1" t="s">
        <v>15</v>
      </c>
      <c r="D40" s="3">
        <v>8.5</v>
      </c>
      <c r="E40" s="4">
        <v>4</v>
      </c>
      <c r="F40" s="4">
        <v>8</v>
      </c>
      <c r="G40" s="5"/>
      <c r="K40" t="s">
        <v>129</v>
      </c>
      <c r="N40" t="s">
        <v>131</v>
      </c>
    </row>
    <row r="41" spans="1:18" ht="14.3">
      <c r="A41" s="1" t="s">
        <v>79</v>
      </c>
      <c r="B41" s="1" t="s">
        <v>8</v>
      </c>
      <c r="C41" s="1" t="s">
        <v>15</v>
      </c>
      <c r="D41" s="3">
        <v>7.5</v>
      </c>
      <c r="E41" s="4">
        <v>4</v>
      </c>
      <c r="F41" s="4">
        <v>5</v>
      </c>
      <c r="G41" s="5"/>
      <c r="J41" s="13" t="s">
        <v>144</v>
      </c>
      <c r="K41" t="s">
        <v>130</v>
      </c>
      <c r="L41" t="s">
        <v>8</v>
      </c>
      <c r="M41" t="s">
        <v>11</v>
      </c>
      <c r="N41" t="s">
        <v>130</v>
      </c>
      <c r="O41" t="s">
        <v>8</v>
      </c>
      <c r="P41" t="s">
        <v>11</v>
      </c>
    </row>
    <row r="42" spans="1:18">
      <c r="A42" s="1" t="s">
        <v>80</v>
      </c>
      <c r="B42" s="1" t="s">
        <v>8</v>
      </c>
      <c r="C42" s="1" t="s">
        <v>9</v>
      </c>
      <c r="D42" s="3">
        <v>8.6999999999999993</v>
      </c>
      <c r="E42" s="4">
        <v>3</v>
      </c>
      <c r="F42" s="4">
        <v>6</v>
      </c>
      <c r="G42" s="5"/>
      <c r="J42">
        <v>0</v>
      </c>
      <c r="K42">
        <f>SUM(L42:M42)</f>
        <v>2</v>
      </c>
      <c r="L42">
        <f>COUNTIFS(DataStudie[slova], J42,DataStudie[podminka], "ticho")</f>
        <v>1</v>
      </c>
      <c r="M42">
        <f>COUNTIFS(DataStudie[slova], J42,DataStudie[podminka], "hluk")</f>
        <v>1</v>
      </c>
      <c r="N42" s="11">
        <f>K42/K$56</f>
        <v>2.9850746268656716E-2</v>
      </c>
      <c r="O42" s="11">
        <f>L42/L$56</f>
        <v>2.3809523809523808E-2</v>
      </c>
      <c r="P42" s="11">
        <f>M42/M$56</f>
        <v>0.04</v>
      </c>
    </row>
    <row r="43" spans="1:18">
      <c r="A43" s="1" t="s">
        <v>82</v>
      </c>
      <c r="B43" s="1" t="s">
        <v>8</v>
      </c>
      <c r="C43" s="1" t="s">
        <v>15</v>
      </c>
      <c r="D43" s="3">
        <v>6.2</v>
      </c>
      <c r="E43" s="4">
        <v>3</v>
      </c>
      <c r="F43" s="4">
        <v>9</v>
      </c>
      <c r="G43" s="5"/>
      <c r="J43">
        <v>1</v>
      </c>
      <c r="K43">
        <f t="shared" ref="K43:K54" si="8">SUM(L43:M43)</f>
        <v>0</v>
      </c>
      <c r="L43">
        <f>COUNTIFS(DataStudie[slova], J43,DataStudie[podminka], "ticho")</f>
        <v>0</v>
      </c>
      <c r="M43">
        <f>COUNTIFS(DataStudie[slova], J43,DataStudie[podminka], "hluk")</f>
        <v>0</v>
      </c>
      <c r="N43" s="11">
        <f t="shared" ref="N43:N54" si="9">K43/K$56</f>
        <v>0</v>
      </c>
      <c r="O43" s="11">
        <f t="shared" ref="O43:O54" si="10">L43/L$56</f>
        <v>0</v>
      </c>
      <c r="P43" s="11">
        <f t="shared" ref="P43:P54" si="11">M43/M$56</f>
        <v>0</v>
      </c>
    </row>
    <row r="44" spans="1:18">
      <c r="A44" s="1" t="s">
        <v>86</v>
      </c>
      <c r="B44" s="1" t="s">
        <v>8</v>
      </c>
      <c r="C44" s="1" t="s">
        <v>15</v>
      </c>
      <c r="D44" s="3">
        <v>6.5</v>
      </c>
      <c r="E44" s="4">
        <v>4</v>
      </c>
      <c r="F44" s="4">
        <v>6</v>
      </c>
      <c r="G44" s="5"/>
      <c r="J44">
        <v>2</v>
      </c>
      <c r="K44">
        <f t="shared" si="8"/>
        <v>2</v>
      </c>
      <c r="L44">
        <f>COUNTIFS(DataStudie[slova], J44,DataStudie[podminka], "ticho")</f>
        <v>1</v>
      </c>
      <c r="M44">
        <f>COUNTIFS(DataStudie[slova], J44,DataStudie[podminka], "hluk")</f>
        <v>1</v>
      </c>
      <c r="N44" s="11">
        <f t="shared" si="9"/>
        <v>2.9850746268656716E-2</v>
      </c>
      <c r="O44" s="11">
        <f t="shared" si="10"/>
        <v>2.3809523809523808E-2</v>
      </c>
      <c r="P44" s="11">
        <f t="shared" si="11"/>
        <v>0.04</v>
      </c>
    </row>
    <row r="45" spans="1:18">
      <c r="A45" s="1" t="s">
        <v>87</v>
      </c>
      <c r="B45" s="1" t="s">
        <v>8</v>
      </c>
      <c r="C45" s="1" t="s">
        <v>15</v>
      </c>
      <c r="D45" s="3">
        <v>7.5</v>
      </c>
      <c r="E45" s="4">
        <v>3</v>
      </c>
      <c r="F45" s="4"/>
      <c r="G45" s="5" t="s">
        <v>35</v>
      </c>
      <c r="J45">
        <v>3</v>
      </c>
      <c r="K45">
        <f t="shared" si="8"/>
        <v>2</v>
      </c>
      <c r="L45">
        <f>COUNTIFS(DataStudie[slova], J45,DataStudie[podminka], "ticho")</f>
        <v>1</v>
      </c>
      <c r="M45">
        <f>COUNTIFS(DataStudie[slova], J45,DataStudie[podminka], "hluk")</f>
        <v>1</v>
      </c>
      <c r="N45" s="11">
        <f t="shared" si="9"/>
        <v>2.9850746268656716E-2</v>
      </c>
      <c r="O45" s="11">
        <f t="shared" si="10"/>
        <v>2.3809523809523808E-2</v>
      </c>
      <c r="P45" s="11">
        <f t="shared" si="11"/>
        <v>0.04</v>
      </c>
    </row>
    <row r="46" spans="1:18">
      <c r="A46" s="1" t="s">
        <v>10</v>
      </c>
      <c r="B46" s="1" t="s">
        <v>11</v>
      </c>
      <c r="C46" s="1" t="s">
        <v>12</v>
      </c>
      <c r="D46" s="3">
        <v>6</v>
      </c>
      <c r="E46" s="4"/>
      <c r="F46" s="4">
        <v>9</v>
      </c>
      <c r="G46" s="5" t="s">
        <v>13</v>
      </c>
      <c r="J46">
        <v>4</v>
      </c>
      <c r="K46">
        <f t="shared" si="8"/>
        <v>3</v>
      </c>
      <c r="L46">
        <f>COUNTIFS(DataStudie[slova], J46,DataStudie[podminka], "ticho")</f>
        <v>2</v>
      </c>
      <c r="M46">
        <f>COUNTIFS(DataStudie[slova], J46,DataStudie[podminka], "hluk")</f>
        <v>1</v>
      </c>
      <c r="N46" s="11">
        <f t="shared" si="9"/>
        <v>4.4776119402985072E-2</v>
      </c>
      <c r="O46" s="11">
        <f t="shared" si="10"/>
        <v>4.7619047619047616E-2</v>
      </c>
      <c r="P46" s="11">
        <f t="shared" si="11"/>
        <v>0.04</v>
      </c>
    </row>
    <row r="47" spans="1:18">
      <c r="A47" s="1" t="s">
        <v>17</v>
      </c>
      <c r="B47" s="1" t="s">
        <v>11</v>
      </c>
      <c r="C47" s="1" t="s">
        <v>12</v>
      </c>
      <c r="D47" s="3">
        <v>6.7</v>
      </c>
      <c r="E47" s="4">
        <v>2</v>
      </c>
      <c r="F47" s="4">
        <v>10</v>
      </c>
      <c r="G47" s="5"/>
      <c r="J47">
        <v>5</v>
      </c>
      <c r="K47">
        <f t="shared" si="8"/>
        <v>5</v>
      </c>
      <c r="L47">
        <f>COUNTIFS(DataStudie[slova], J47,DataStudie[podminka], "ticho")</f>
        <v>3</v>
      </c>
      <c r="M47">
        <f>COUNTIFS(DataStudie[slova], J47,DataStudie[podminka], "hluk")</f>
        <v>2</v>
      </c>
      <c r="N47" s="11">
        <f t="shared" si="9"/>
        <v>7.4626865671641784E-2</v>
      </c>
      <c r="O47" s="11">
        <f t="shared" si="10"/>
        <v>7.1428571428571425E-2</v>
      </c>
      <c r="P47" s="11">
        <f t="shared" si="11"/>
        <v>0.08</v>
      </c>
    </row>
    <row r="48" spans="1:18">
      <c r="A48" s="1" t="s">
        <v>19</v>
      </c>
      <c r="B48" s="1" t="s">
        <v>11</v>
      </c>
      <c r="C48" s="1" t="s">
        <v>15</v>
      </c>
      <c r="D48" s="3"/>
      <c r="E48" s="4">
        <v>3</v>
      </c>
      <c r="F48" s="4">
        <v>9</v>
      </c>
      <c r="G48" s="5" t="s">
        <v>20</v>
      </c>
      <c r="J48">
        <v>6</v>
      </c>
      <c r="K48">
        <f t="shared" si="8"/>
        <v>7</v>
      </c>
      <c r="L48">
        <f>COUNTIFS(DataStudie[slova], J48,DataStudie[podminka], "ticho")</f>
        <v>5</v>
      </c>
      <c r="M48">
        <f>COUNTIFS(DataStudie[slova], J48,DataStudie[podminka], "hluk")</f>
        <v>2</v>
      </c>
      <c r="N48" s="11">
        <f t="shared" si="9"/>
        <v>0.1044776119402985</v>
      </c>
      <c r="O48" s="11">
        <f t="shared" si="10"/>
        <v>0.11904761904761904</v>
      </c>
      <c r="P48" s="11">
        <f t="shared" si="11"/>
        <v>0.08</v>
      </c>
    </row>
    <row r="49" spans="1:17">
      <c r="A49" s="1" t="s">
        <v>23</v>
      </c>
      <c r="B49" s="1" t="s">
        <v>11</v>
      </c>
      <c r="C49" s="1" t="s">
        <v>12</v>
      </c>
      <c r="D49" s="3"/>
      <c r="E49" s="4">
        <v>2</v>
      </c>
      <c r="F49" s="4">
        <v>10</v>
      </c>
      <c r="G49" s="5" t="s">
        <v>20</v>
      </c>
      <c r="J49">
        <v>7</v>
      </c>
      <c r="K49">
        <f t="shared" si="8"/>
        <v>11</v>
      </c>
      <c r="L49">
        <f>COUNTIFS(DataStudie[slova], J49,DataStudie[podminka], "ticho")</f>
        <v>8</v>
      </c>
      <c r="M49">
        <f>COUNTIFS(DataStudie[slova], J49,DataStudie[podminka], "hluk")</f>
        <v>3</v>
      </c>
      <c r="N49" s="11">
        <f t="shared" si="9"/>
        <v>0.16417910447761194</v>
      </c>
      <c r="O49" s="11">
        <f t="shared" si="10"/>
        <v>0.19047619047619047</v>
      </c>
      <c r="P49" s="11">
        <f t="shared" si="11"/>
        <v>0.12</v>
      </c>
    </row>
    <row r="50" spans="1:17">
      <c r="A50" s="1" t="s">
        <v>25</v>
      </c>
      <c r="B50" s="1" t="s">
        <v>11</v>
      </c>
      <c r="C50" s="1" t="s">
        <v>15</v>
      </c>
      <c r="D50" s="3">
        <v>7</v>
      </c>
      <c r="E50" s="4">
        <v>3</v>
      </c>
      <c r="F50" s="4">
        <v>11</v>
      </c>
      <c r="G50" s="5"/>
      <c r="J50">
        <v>8</v>
      </c>
      <c r="K50">
        <f t="shared" si="8"/>
        <v>14</v>
      </c>
      <c r="L50">
        <f>COUNTIFS(DataStudie[slova], J50,DataStudie[podminka], "ticho")</f>
        <v>9</v>
      </c>
      <c r="M50">
        <f>COUNTIFS(DataStudie[slova], J50,DataStudie[podminka], "hluk")</f>
        <v>5</v>
      </c>
      <c r="N50" s="11">
        <f t="shared" si="9"/>
        <v>0.20895522388059701</v>
      </c>
      <c r="O50" s="11">
        <f t="shared" si="10"/>
        <v>0.21428571428571427</v>
      </c>
      <c r="P50" s="11">
        <f t="shared" si="11"/>
        <v>0.2</v>
      </c>
    </row>
    <row r="51" spans="1:17">
      <c r="A51" s="1" t="s">
        <v>26</v>
      </c>
      <c r="B51" s="1" t="s">
        <v>11</v>
      </c>
      <c r="C51" s="1" t="s">
        <v>15</v>
      </c>
      <c r="D51" s="3">
        <v>7.2</v>
      </c>
      <c r="E51" s="4">
        <v>1</v>
      </c>
      <c r="F51" s="4">
        <v>8</v>
      </c>
      <c r="G51" s="5"/>
      <c r="J51">
        <v>9</v>
      </c>
      <c r="K51">
        <f t="shared" si="8"/>
        <v>9</v>
      </c>
      <c r="L51">
        <f>COUNTIFS(DataStudie[slova], J51,DataStudie[podminka], "ticho")</f>
        <v>5</v>
      </c>
      <c r="M51">
        <f>COUNTIFS(DataStudie[slova], J51,DataStudie[podminka], "hluk")</f>
        <v>4</v>
      </c>
      <c r="N51" s="11">
        <f t="shared" si="9"/>
        <v>0.13432835820895522</v>
      </c>
      <c r="O51" s="11">
        <f t="shared" si="10"/>
        <v>0.11904761904761904</v>
      </c>
      <c r="P51" s="11">
        <f t="shared" si="11"/>
        <v>0.16</v>
      </c>
    </row>
    <row r="52" spans="1:17">
      <c r="A52" s="1" t="s">
        <v>27</v>
      </c>
      <c r="B52" s="1" t="s">
        <v>11</v>
      </c>
      <c r="C52" s="1" t="s">
        <v>15</v>
      </c>
      <c r="D52" s="3">
        <v>6.2</v>
      </c>
      <c r="E52" s="4">
        <v>1</v>
      </c>
      <c r="F52" s="4">
        <v>5</v>
      </c>
      <c r="G52" s="5"/>
      <c r="J52">
        <v>10</v>
      </c>
      <c r="K52">
        <f t="shared" si="8"/>
        <v>7</v>
      </c>
      <c r="L52">
        <f>COUNTIFS(DataStudie[slova], J52,DataStudie[podminka], "ticho")</f>
        <v>4</v>
      </c>
      <c r="M52">
        <f>COUNTIFS(DataStudie[slova], J52,DataStudie[podminka], "hluk")</f>
        <v>3</v>
      </c>
      <c r="N52" s="11">
        <f t="shared" si="9"/>
        <v>0.1044776119402985</v>
      </c>
      <c r="O52" s="11">
        <f t="shared" si="10"/>
        <v>9.5238095238095233E-2</v>
      </c>
      <c r="P52" s="11">
        <f t="shared" si="11"/>
        <v>0.12</v>
      </c>
    </row>
    <row r="53" spans="1:17">
      <c r="A53" s="1" t="s">
        <v>32</v>
      </c>
      <c r="B53" s="1" t="s">
        <v>11</v>
      </c>
      <c r="C53" s="1" t="s">
        <v>9</v>
      </c>
      <c r="D53" s="3">
        <v>6.2</v>
      </c>
      <c r="E53" s="4">
        <v>3</v>
      </c>
      <c r="F53" s="4">
        <v>3</v>
      </c>
      <c r="G53" s="5"/>
      <c r="J53">
        <v>11</v>
      </c>
      <c r="K53">
        <f t="shared" si="8"/>
        <v>3</v>
      </c>
      <c r="L53">
        <f>COUNTIFS(DataStudie[slova], J53,DataStudie[podminka], "ticho")</f>
        <v>2</v>
      </c>
      <c r="M53">
        <f>COUNTIFS(DataStudie[slova], J53,DataStudie[podminka], "hluk")</f>
        <v>1</v>
      </c>
      <c r="N53" s="11">
        <f t="shared" si="9"/>
        <v>4.4776119402985072E-2</v>
      </c>
      <c r="O53" s="11">
        <f t="shared" si="10"/>
        <v>4.7619047619047616E-2</v>
      </c>
      <c r="P53" s="11">
        <f t="shared" si="11"/>
        <v>0.04</v>
      </c>
    </row>
    <row r="54" spans="1:17">
      <c r="A54" s="1" t="s">
        <v>34</v>
      </c>
      <c r="B54" s="1" t="s">
        <v>11</v>
      </c>
      <c r="C54" s="1" t="s">
        <v>12</v>
      </c>
      <c r="D54" s="3">
        <v>6.5</v>
      </c>
      <c r="E54" s="4">
        <v>2</v>
      </c>
      <c r="F54" s="4"/>
      <c r="G54" s="5" t="s">
        <v>35</v>
      </c>
      <c r="J54">
        <v>12</v>
      </c>
      <c r="K54">
        <f t="shared" si="8"/>
        <v>2</v>
      </c>
      <c r="L54">
        <f>COUNTIFS(DataStudie[slova], J54,DataStudie[podminka], "ticho")</f>
        <v>1</v>
      </c>
      <c r="M54">
        <f>COUNTIFS(DataStudie[slova], J54,DataStudie[podminka], "hluk")</f>
        <v>1</v>
      </c>
      <c r="N54" s="11">
        <f t="shared" si="9"/>
        <v>2.9850746268656716E-2</v>
      </c>
      <c r="O54" s="11">
        <f t="shared" si="10"/>
        <v>2.3809523809523808E-2</v>
      </c>
      <c r="P54" s="11">
        <f t="shared" si="11"/>
        <v>0.04</v>
      </c>
    </row>
    <row r="55" spans="1:17">
      <c r="A55" s="1" t="s">
        <v>36</v>
      </c>
      <c r="B55" s="1" t="s">
        <v>11</v>
      </c>
      <c r="C55" s="1" t="s">
        <v>15</v>
      </c>
      <c r="D55" s="3"/>
      <c r="E55" s="4">
        <v>3</v>
      </c>
      <c r="F55" s="4">
        <v>9</v>
      </c>
      <c r="G55" s="5" t="s">
        <v>20</v>
      </c>
    </row>
    <row r="56" spans="1:17">
      <c r="A56" s="1" t="s">
        <v>39</v>
      </c>
      <c r="B56" s="1" t="s">
        <v>11</v>
      </c>
      <c r="C56" s="1" t="s">
        <v>12</v>
      </c>
      <c r="D56" s="3">
        <v>7.8</v>
      </c>
      <c r="E56" s="4">
        <v>2</v>
      </c>
      <c r="F56" s="4">
        <v>7</v>
      </c>
      <c r="G56" s="5"/>
      <c r="J56" t="s">
        <v>130</v>
      </c>
      <c r="K56">
        <f>SUM(K42:K54)</f>
        <v>67</v>
      </c>
      <c r="L56">
        <f t="shared" ref="L56:P56" si="12">SUM(L42:L54)</f>
        <v>42</v>
      </c>
      <c r="M56">
        <f t="shared" si="12"/>
        <v>25</v>
      </c>
      <c r="N56" s="11"/>
      <c r="O56" s="11"/>
      <c r="P56" s="11"/>
    </row>
    <row r="57" spans="1:17">
      <c r="A57" s="1" t="s">
        <v>44</v>
      </c>
      <c r="B57" s="1" t="s">
        <v>11</v>
      </c>
      <c r="C57" s="1" t="s">
        <v>12</v>
      </c>
      <c r="D57" s="3"/>
      <c r="E57" s="4">
        <v>3</v>
      </c>
      <c r="F57" s="4">
        <v>9</v>
      </c>
      <c r="G57" s="5" t="s">
        <v>20</v>
      </c>
    </row>
    <row r="58" spans="1:17">
      <c r="A58" s="1" t="s">
        <v>47</v>
      </c>
      <c r="B58" s="1" t="s">
        <v>11</v>
      </c>
      <c r="C58" s="1" t="s">
        <v>12</v>
      </c>
      <c r="D58" s="3">
        <v>5.2</v>
      </c>
      <c r="E58" s="4">
        <v>1</v>
      </c>
      <c r="F58" s="4">
        <v>6</v>
      </c>
      <c r="G58" s="5"/>
      <c r="L58" t="s">
        <v>129</v>
      </c>
      <c r="O58" t="s">
        <v>137</v>
      </c>
    </row>
    <row r="59" spans="1:17">
      <c r="A59" s="1" t="s">
        <v>50</v>
      </c>
      <c r="B59" s="1" t="s">
        <v>11</v>
      </c>
      <c r="C59" s="1" t="s">
        <v>15</v>
      </c>
      <c r="D59" s="3">
        <v>6.8</v>
      </c>
      <c r="E59" s="4">
        <v>4</v>
      </c>
      <c r="F59" s="4">
        <v>7</v>
      </c>
      <c r="G59" s="5"/>
      <c r="J59" t="s">
        <v>145</v>
      </c>
      <c r="K59" t="s">
        <v>146</v>
      </c>
      <c r="L59" t="s">
        <v>130</v>
      </c>
      <c r="M59" t="s">
        <v>8</v>
      </c>
      <c r="N59" t="s">
        <v>11</v>
      </c>
      <c r="O59" t="s">
        <v>130</v>
      </c>
      <c r="P59" t="s">
        <v>8</v>
      </c>
      <c r="Q59" t="s">
        <v>11</v>
      </c>
    </row>
    <row r="60" spans="1:17">
      <c r="A60" s="1" t="s">
        <v>53</v>
      </c>
      <c r="B60" s="1" t="s">
        <v>11</v>
      </c>
      <c r="C60" s="1" t="s">
        <v>15</v>
      </c>
      <c r="D60" s="3">
        <v>4.2</v>
      </c>
      <c r="E60" s="4">
        <v>3</v>
      </c>
      <c r="F60" s="4">
        <v>5</v>
      </c>
      <c r="G60" s="5"/>
      <c r="J60">
        <v>1</v>
      </c>
      <c r="K60" t="s">
        <v>147</v>
      </c>
      <c r="L60">
        <f>COUNTIF(DataStudie[odpocatost],J60)</f>
        <v>7</v>
      </c>
      <c r="M60">
        <f>COUNTIFS(DataStudie[odpocatost],J60,DataStudie[podminka],"ticho")</f>
        <v>3</v>
      </c>
      <c r="N60">
        <f>COUNTIFS(DataStudie[odpocatost],J60,DataStudie[podminka],"hluk")</f>
        <v>4</v>
      </c>
      <c r="O60" s="11">
        <f>L60/L$67</f>
        <v>0.10144927536231885</v>
      </c>
      <c r="P60" s="11">
        <f t="shared" ref="P60:Q63" si="13">M60/M$67</f>
        <v>6.9767441860465115E-2</v>
      </c>
      <c r="Q60" s="11">
        <f t="shared" si="13"/>
        <v>0.15384615384615385</v>
      </c>
    </row>
    <row r="61" spans="1:17">
      <c r="A61" s="1" t="s">
        <v>56</v>
      </c>
      <c r="B61" s="1" t="s">
        <v>11</v>
      </c>
      <c r="C61" s="1"/>
      <c r="D61" s="3">
        <v>6</v>
      </c>
      <c r="E61" s="4">
        <v>3</v>
      </c>
      <c r="F61" s="4">
        <v>4</v>
      </c>
      <c r="G61" s="5" t="s">
        <v>52</v>
      </c>
      <c r="J61">
        <v>2</v>
      </c>
      <c r="K61" t="s">
        <v>148</v>
      </c>
      <c r="L61">
        <f>COUNTIF(DataStudie[odpocatost],J61)</f>
        <v>20</v>
      </c>
      <c r="M61">
        <f>COUNTIFS(DataStudie[odpocatost],J61,DataStudie[podminka],"ticho")</f>
        <v>10</v>
      </c>
      <c r="N61">
        <f>COUNTIFS(DataStudie[odpocatost],J61,DataStudie[podminka],"hluk")</f>
        <v>10</v>
      </c>
      <c r="O61" s="11">
        <f t="shared" ref="O61:O63" si="14">L61/L$67</f>
        <v>0.28985507246376813</v>
      </c>
      <c r="P61" s="11">
        <f t="shared" si="13"/>
        <v>0.23255813953488372</v>
      </c>
      <c r="Q61" s="11">
        <f t="shared" si="13"/>
        <v>0.38461538461538464</v>
      </c>
    </row>
    <row r="62" spans="1:17">
      <c r="A62" s="1" t="s">
        <v>63</v>
      </c>
      <c r="B62" s="1" t="s">
        <v>11</v>
      </c>
      <c r="C62" s="1" t="s">
        <v>12</v>
      </c>
      <c r="D62" s="3">
        <v>5.7</v>
      </c>
      <c r="E62" s="4">
        <v>2</v>
      </c>
      <c r="F62" s="4">
        <v>2</v>
      </c>
      <c r="G62" s="5"/>
      <c r="J62">
        <v>3</v>
      </c>
      <c r="K62" t="s">
        <v>149</v>
      </c>
      <c r="L62">
        <f>COUNTIF(DataStudie[odpocatost],J62)</f>
        <v>28</v>
      </c>
      <c r="M62">
        <f>COUNTIFS(DataStudie[odpocatost],J62,DataStudie[podminka],"ticho")</f>
        <v>19</v>
      </c>
      <c r="N62">
        <f>COUNTIFS(DataStudie[odpocatost],J62,DataStudie[podminka],"hluk")</f>
        <v>9</v>
      </c>
      <c r="O62" s="11">
        <f t="shared" si="14"/>
        <v>0.40579710144927539</v>
      </c>
      <c r="P62" s="11">
        <f t="shared" si="13"/>
        <v>0.44186046511627908</v>
      </c>
      <c r="Q62" s="11">
        <f t="shared" si="13"/>
        <v>0.34615384615384615</v>
      </c>
    </row>
    <row r="63" spans="1:17">
      <c r="A63" s="1" t="s">
        <v>65</v>
      </c>
      <c r="B63" s="1" t="s">
        <v>11</v>
      </c>
      <c r="C63" s="1" t="s">
        <v>12</v>
      </c>
      <c r="D63" s="3">
        <v>7.5</v>
      </c>
      <c r="E63" s="4">
        <v>3</v>
      </c>
      <c r="F63" s="4"/>
      <c r="G63" s="5" t="s">
        <v>35</v>
      </c>
      <c r="J63">
        <v>4</v>
      </c>
      <c r="K63" t="s">
        <v>150</v>
      </c>
      <c r="L63">
        <f>COUNTIF(DataStudie[odpocatost],J63)</f>
        <v>14</v>
      </c>
      <c r="M63">
        <f>COUNTIFS(DataStudie[odpocatost],J63,DataStudie[podminka],"ticho")</f>
        <v>11</v>
      </c>
      <c r="N63">
        <f>COUNTIFS(DataStudie[odpocatost],J63,DataStudie[podminka],"hluk")</f>
        <v>3</v>
      </c>
      <c r="O63" s="11">
        <f t="shared" si="14"/>
        <v>0.20289855072463769</v>
      </c>
      <c r="P63" s="11">
        <f t="shared" si="13"/>
        <v>0.2558139534883721</v>
      </c>
      <c r="Q63" s="11">
        <f t="shared" si="13"/>
        <v>0.11538461538461539</v>
      </c>
    </row>
    <row r="64" spans="1:17">
      <c r="A64" s="1" t="s">
        <v>68</v>
      </c>
      <c r="B64" s="1" t="s">
        <v>11</v>
      </c>
      <c r="C64" s="1" t="s">
        <v>15</v>
      </c>
      <c r="D64" s="3">
        <v>8.1999999999999993</v>
      </c>
      <c r="E64" s="4">
        <v>2</v>
      </c>
      <c r="F64" s="4">
        <v>7</v>
      </c>
      <c r="G64" s="5"/>
      <c r="K64" t="s">
        <v>133</v>
      </c>
      <c r="L64">
        <f>COUNTBLANK(DataStudie[odpocatost])</f>
        <v>3</v>
      </c>
    </row>
    <row r="65" spans="1:14">
      <c r="A65" s="1" t="s">
        <v>71</v>
      </c>
      <c r="B65" s="1" t="s">
        <v>11</v>
      </c>
      <c r="C65" s="1" t="s">
        <v>12</v>
      </c>
      <c r="D65" s="3">
        <v>8</v>
      </c>
      <c r="E65" s="4">
        <v>2</v>
      </c>
      <c r="F65" s="4">
        <v>12</v>
      </c>
      <c r="G65" s="5"/>
    </row>
    <row r="66" spans="1:14">
      <c r="A66" s="1" t="s">
        <v>72</v>
      </c>
      <c r="B66" s="1" t="s">
        <v>11</v>
      </c>
      <c r="C66" s="1" t="s">
        <v>9</v>
      </c>
      <c r="D66" s="3">
        <v>7</v>
      </c>
      <c r="E66" s="4">
        <v>1</v>
      </c>
      <c r="F66" s="4">
        <v>10</v>
      </c>
      <c r="G66" s="5"/>
      <c r="J66" t="s">
        <v>134</v>
      </c>
      <c r="L66">
        <f>SUM(L60:L64)</f>
        <v>72</v>
      </c>
    </row>
    <row r="67" spans="1:14">
      <c r="A67" s="1" t="s">
        <v>73</v>
      </c>
      <c r="B67" s="1" t="s">
        <v>11</v>
      </c>
      <c r="C67" s="1" t="s">
        <v>15</v>
      </c>
      <c r="D67" s="3">
        <v>5.5</v>
      </c>
      <c r="E67" s="4"/>
      <c r="F67" s="4">
        <v>8</v>
      </c>
      <c r="G67" s="5" t="s">
        <v>13</v>
      </c>
      <c r="J67" t="s">
        <v>135</v>
      </c>
      <c r="L67">
        <f>SUM(L60:L63)</f>
        <v>69</v>
      </c>
      <c r="M67">
        <f t="shared" ref="M67:Q67" si="15">SUM(M60:M63)</f>
        <v>43</v>
      </c>
      <c r="N67">
        <f t="shared" si="15"/>
        <v>26</v>
      </c>
    </row>
    <row r="68" spans="1:14">
      <c r="A68" s="1" t="s">
        <v>77</v>
      </c>
      <c r="B68" s="1" t="s">
        <v>11</v>
      </c>
      <c r="C68" s="1" t="s">
        <v>9</v>
      </c>
      <c r="D68" s="3">
        <v>7.7</v>
      </c>
      <c r="E68" s="4">
        <v>2</v>
      </c>
      <c r="F68" s="4">
        <v>8</v>
      </c>
      <c r="G68" s="5"/>
    </row>
    <row r="69" spans="1:14">
      <c r="A69" s="1" t="s">
        <v>81</v>
      </c>
      <c r="B69" s="1" t="s">
        <v>11</v>
      </c>
      <c r="C69" s="1" t="s">
        <v>15</v>
      </c>
      <c r="D69" s="3">
        <v>9</v>
      </c>
      <c r="E69" s="4">
        <v>4</v>
      </c>
      <c r="F69" s="4">
        <v>6</v>
      </c>
      <c r="G69" s="5"/>
    </row>
    <row r="70" spans="1:14">
      <c r="A70" s="1" t="s">
        <v>83</v>
      </c>
      <c r="B70" s="1" t="s">
        <v>11</v>
      </c>
      <c r="C70" s="1" t="s">
        <v>12</v>
      </c>
      <c r="D70" s="3">
        <v>5</v>
      </c>
      <c r="E70" s="4">
        <v>4</v>
      </c>
      <c r="F70" s="4"/>
      <c r="G70" s="5" t="s">
        <v>35</v>
      </c>
    </row>
    <row r="71" spans="1:14">
      <c r="A71" s="1" t="s">
        <v>84</v>
      </c>
      <c r="B71" s="1" t="s">
        <v>11</v>
      </c>
      <c r="C71" s="1" t="s">
        <v>12</v>
      </c>
      <c r="D71" s="3">
        <v>6.5</v>
      </c>
      <c r="E71" s="4">
        <v>3</v>
      </c>
      <c r="F71" s="4">
        <v>0</v>
      </c>
      <c r="G71" s="5"/>
    </row>
    <row r="72" spans="1:14">
      <c r="A72" s="1" t="s">
        <v>85</v>
      </c>
      <c r="B72" s="1" t="s">
        <v>11</v>
      </c>
      <c r="C72" s="1" t="s">
        <v>15</v>
      </c>
      <c r="D72" s="3">
        <v>4</v>
      </c>
      <c r="E72" s="4">
        <v>2</v>
      </c>
      <c r="F72" s="4">
        <v>8</v>
      </c>
      <c r="G72" s="5"/>
    </row>
    <row r="73" spans="1:14">
      <c r="A73" s="1" t="s">
        <v>88</v>
      </c>
      <c r="B73" s="1" t="s">
        <v>11</v>
      </c>
      <c r="C73" s="1" t="s">
        <v>9</v>
      </c>
      <c r="D73" s="3">
        <v>7.2</v>
      </c>
      <c r="E73" s="4">
        <v>2</v>
      </c>
      <c r="F73" s="4">
        <v>8</v>
      </c>
      <c r="G73" s="5"/>
    </row>
  </sheetData>
  <dataValidations disablePrompts="1" count="4">
    <dataValidation type="list" sqref="B2:B73" xr:uid="{00000000-0002-0000-0000-000000000000}">
      <formula1>"ticho,hluk"</formula1>
    </dataValidation>
    <dataValidation type="list" sqref="C2:C73" xr:uid="{00000000-0002-0000-0000-000001000000}">
      <formula1>"žena,muž,nebinární"</formula1>
    </dataValidation>
    <dataValidation type="whole" sqref="E2:E73" xr:uid="{00000000-0002-0000-0000-000002000000}">
      <formula1>1</formula1>
      <formula2>4</formula2>
    </dataValidation>
    <dataValidation type="whole" sqref="F2:F73" xr:uid="{00000000-0002-0000-0000-000003000000}">
      <formula1>0</formula1>
      <formula2>12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showGridLines="0" workbookViewId="0"/>
  </sheetViews>
  <sheetFormatPr defaultRowHeight="13.6"/>
  <cols>
    <col min="1" max="1" width="28" customWidth="1"/>
    <col min="2" max="2" width="112" customWidth="1"/>
  </cols>
  <sheetData>
    <row r="1" spans="1:2" ht="34" customHeight="1">
      <c r="A1" s="8" t="s">
        <v>89</v>
      </c>
      <c r="B1" s="8" t="s">
        <v>90</v>
      </c>
    </row>
    <row r="2" spans="1:2" ht="53" customHeight="1">
      <c r="A2" s="7" t="s">
        <v>91</v>
      </c>
      <c r="B2" s="6" t="s">
        <v>92</v>
      </c>
    </row>
    <row r="3" spans="1:2" ht="53" customHeight="1">
      <c r="A3" s="7" t="s">
        <v>93</v>
      </c>
      <c r="B3" s="6" t="s">
        <v>94</v>
      </c>
    </row>
    <row r="4" spans="1:2" ht="53" customHeight="1">
      <c r="A4" s="7" t="s">
        <v>95</v>
      </c>
      <c r="B4" s="6" t="s">
        <v>96</v>
      </c>
    </row>
    <row r="5" spans="1:2" ht="53" customHeight="1">
      <c r="A5" s="7" t="s">
        <v>97</v>
      </c>
      <c r="B5" s="6" t="s">
        <v>98</v>
      </c>
    </row>
    <row r="6" spans="1:2" ht="53" customHeight="1">
      <c r="A6" s="7" t="s">
        <v>99</v>
      </c>
      <c r="B6" s="6" t="s">
        <v>100</v>
      </c>
    </row>
    <row r="7" spans="1:2" ht="53" customHeight="1">
      <c r="A7" s="7" t="s">
        <v>101</v>
      </c>
      <c r="B7" s="6" t="s">
        <v>102</v>
      </c>
    </row>
    <row r="8" spans="1:2" ht="53" customHeight="1">
      <c r="A8" s="7" t="s">
        <v>103</v>
      </c>
      <c r="B8" s="6" t="s">
        <v>104</v>
      </c>
    </row>
    <row r="9" spans="1:2" ht="53" customHeight="1">
      <c r="A9" s="7" t="s">
        <v>105</v>
      </c>
      <c r="B9" s="6" t="s">
        <v>106</v>
      </c>
    </row>
    <row r="10" spans="1:2" ht="53" customHeight="1">
      <c r="A10" s="7" t="s">
        <v>107</v>
      </c>
      <c r="B10" s="6" t="s">
        <v>108</v>
      </c>
    </row>
    <row r="11" spans="1:2" ht="53" customHeight="1">
      <c r="A11" s="7" t="s">
        <v>109</v>
      </c>
      <c r="B11" s="6" t="s">
        <v>110</v>
      </c>
    </row>
    <row r="12" spans="1:2" ht="53" customHeight="1">
      <c r="A12" s="7" t="s">
        <v>111</v>
      </c>
      <c r="B12" s="6" t="s">
        <v>112</v>
      </c>
    </row>
    <row r="13" spans="1:2" ht="53" customHeight="1">
      <c r="A13" s="7" t="s">
        <v>113</v>
      </c>
      <c r="B13" s="6" t="s">
        <v>114</v>
      </c>
    </row>
    <row r="14" spans="1:2" ht="53" customHeight="1">
      <c r="A14" s="7" t="s">
        <v>115</v>
      </c>
      <c r="B14" s="6" t="s">
        <v>116</v>
      </c>
    </row>
    <row r="15" spans="1:2" ht="53" customHeight="1">
      <c r="A15" s="9" t="s">
        <v>0</v>
      </c>
      <c r="B15" s="10" t="s">
        <v>117</v>
      </c>
    </row>
    <row r="16" spans="1:2" ht="53" customHeight="1">
      <c r="A16" s="7" t="s">
        <v>1</v>
      </c>
      <c r="B16" s="6" t="s">
        <v>118</v>
      </c>
    </row>
    <row r="17" spans="1:2" ht="53" customHeight="1">
      <c r="A17" s="7" t="s">
        <v>2</v>
      </c>
      <c r="B17" s="6" t="s">
        <v>119</v>
      </c>
    </row>
    <row r="18" spans="1:2" ht="53" customHeight="1">
      <c r="A18" s="7" t="s">
        <v>3</v>
      </c>
      <c r="B18" s="6" t="s">
        <v>120</v>
      </c>
    </row>
    <row r="19" spans="1:2" ht="53" customHeight="1">
      <c r="A19" s="7" t="s">
        <v>4</v>
      </c>
      <c r="B19" s="6" t="s">
        <v>121</v>
      </c>
    </row>
    <row r="20" spans="1:2" ht="53" customHeight="1">
      <c r="A20" s="7" t="s">
        <v>5</v>
      </c>
      <c r="B20" s="6" t="s">
        <v>122</v>
      </c>
    </row>
    <row r="21" spans="1:2" ht="53" customHeight="1">
      <c r="A21" s="7" t="s">
        <v>6</v>
      </c>
      <c r="B21" s="6" t="s">
        <v>123</v>
      </c>
    </row>
    <row r="22" spans="1:2" ht="53" customHeight="1">
      <c r="A22" s="7" t="s">
        <v>124</v>
      </c>
      <c r="B22" s="6" t="s">
        <v>125</v>
      </c>
    </row>
    <row r="23" spans="1:2" ht="53" customHeight="1">
      <c r="A23" s="7" t="s">
        <v>126</v>
      </c>
      <c r="B23" s="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Karel Rečka</cp:lastModifiedBy>
  <dcterms:modified xsi:type="dcterms:W3CDTF">2026-10-08T19:29:46Z</dcterms:modified>
</cp:coreProperties>
</file>