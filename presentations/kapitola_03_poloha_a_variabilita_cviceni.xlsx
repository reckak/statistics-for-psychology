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11124292-1F54-4748-970D-F47E09BA41E3}" xr6:coauthVersionLast="47" xr6:coauthVersionMax="47" xr10:uidLastSave="{00000000-0000-0000-0000-000000000000}"/>
  <bookViews>
    <workbookView xWindow="-109" yWindow="-109" windowWidth="34995" windowHeight="19060" xr2:uid="{24F4C73B-2EE1-4771-8BA8-717F14A9B570}"/>
  </bookViews>
  <sheets>
    <sheet name="Prehled" sheetId="1" r:id="rId1"/>
    <sheet name="U1_stred" sheetId="2" r:id="rId2"/>
    <sheet name="U2_variabilita" sheetId="3" r:id="rId3"/>
    <sheet name="U3_interval" sheetId="4" r:id="rId4"/>
    <sheet name="U4_boxplot" sheetId="5" r:id="rId5"/>
    <sheet name="U5_orezani" sheetId="6" r:id="rId6"/>
    <sheet name="U6_transformac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6" i="7" l="1"/>
  <c r="R4" i="7"/>
  <c r="R5" i="7" s="1"/>
  <c r="K11" i="7"/>
  <c r="K10" i="7"/>
  <c r="K9" i="7"/>
  <c r="K8" i="7"/>
  <c r="K7" i="7"/>
  <c r="K6" i="7"/>
  <c r="K5" i="7"/>
  <c r="K4" i="7"/>
  <c r="S14" i="6"/>
  <c r="R14" i="6"/>
  <c r="S4" i="6"/>
  <c r="S5" i="6" s="1"/>
  <c r="S6" i="6" s="1"/>
  <c r="S7" i="6" s="1"/>
  <c r="R4" i="6"/>
  <c r="R10" i="6" s="1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S27" i="5"/>
  <c r="R27" i="5"/>
  <c r="S26" i="5"/>
  <c r="R26" i="5"/>
  <c r="S25" i="5"/>
  <c r="R25" i="5"/>
  <c r="S14" i="5"/>
  <c r="R14" i="5"/>
  <c r="S13" i="5"/>
  <c r="R13" i="5"/>
  <c r="S11" i="5"/>
  <c r="R11" i="5"/>
  <c r="S8" i="5"/>
  <c r="R8" i="5"/>
  <c r="S7" i="5"/>
  <c r="R7" i="5"/>
  <c r="S5" i="5"/>
  <c r="S12" i="5" s="1"/>
  <c r="R5" i="5"/>
  <c r="R12" i="5" s="1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S15" i="4"/>
  <c r="R15" i="4"/>
  <c r="S5" i="4"/>
  <c r="S6" i="4" s="1"/>
  <c r="N34" i="4" s="1"/>
  <c r="R5" i="4"/>
  <c r="R6" i="4" s="1"/>
  <c r="L25" i="4" s="1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N39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S20" i="3"/>
  <c r="R20" i="3"/>
  <c r="S19" i="3"/>
  <c r="R19" i="3"/>
  <c r="S18" i="3"/>
  <c r="R18" i="3"/>
  <c r="S17" i="3"/>
  <c r="R17" i="3"/>
  <c r="S9" i="3"/>
  <c r="R9" i="3"/>
  <c r="S6" i="3"/>
  <c r="S7" i="3" s="1"/>
  <c r="R6" i="3"/>
  <c r="S5" i="3"/>
  <c r="R5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S20" i="2"/>
  <c r="R20" i="2"/>
  <c r="S19" i="2"/>
  <c r="R19" i="2"/>
  <c r="S18" i="2"/>
  <c r="R18" i="2"/>
  <c r="S12" i="2"/>
  <c r="R12" i="2"/>
  <c r="S11" i="2"/>
  <c r="R11" i="2"/>
  <c r="R13" i="2" s="1"/>
  <c r="S6" i="2"/>
  <c r="R6" i="2"/>
  <c r="S5" i="2"/>
  <c r="S10" i="2" s="1"/>
  <c r="R5" i="2"/>
  <c r="R10" i="2" s="1"/>
  <c r="K43" i="2"/>
  <c r="M43" i="2" s="1"/>
  <c r="K42" i="2"/>
  <c r="M42" i="2" s="1"/>
  <c r="K41" i="2"/>
  <c r="M41" i="2" s="1"/>
  <c r="K40" i="2"/>
  <c r="M40" i="2" s="1"/>
  <c r="K39" i="2"/>
  <c r="M39" i="2" s="1"/>
  <c r="K38" i="2"/>
  <c r="M38" i="2" s="1"/>
  <c r="K37" i="2"/>
  <c r="M37" i="2" s="1"/>
  <c r="M36" i="2"/>
  <c r="K36" i="2"/>
  <c r="L36" i="2" s="1"/>
  <c r="K35" i="2"/>
  <c r="M35" i="2" s="1"/>
  <c r="K34" i="2"/>
  <c r="L34" i="2" s="1"/>
  <c r="K33" i="2"/>
  <c r="M33" i="2" s="1"/>
  <c r="K32" i="2"/>
  <c r="L32" i="2" s="1"/>
  <c r="K31" i="2"/>
  <c r="M31" i="2" s="1"/>
  <c r="K30" i="2"/>
  <c r="M30" i="2" s="1"/>
  <c r="K29" i="2"/>
  <c r="L29" i="2" s="1"/>
  <c r="K28" i="2"/>
  <c r="M28" i="2" s="1"/>
  <c r="K27" i="2"/>
  <c r="M27" i="2" s="1"/>
  <c r="K26" i="2"/>
  <c r="M26" i="2" s="1"/>
  <c r="K25" i="2"/>
  <c r="L25" i="2" s="1"/>
  <c r="K24" i="2"/>
  <c r="M24" i="2" s="1"/>
  <c r="K23" i="2"/>
  <c r="M23" i="2" s="1"/>
  <c r="K22" i="2"/>
  <c r="L22" i="2" s="1"/>
  <c r="M21" i="2"/>
  <c r="K21" i="2"/>
  <c r="L21" i="2" s="1"/>
  <c r="K20" i="2"/>
  <c r="M20" i="2" s="1"/>
  <c r="K19" i="2"/>
  <c r="M19" i="2" s="1"/>
  <c r="K18" i="2"/>
  <c r="L18" i="2" s="1"/>
  <c r="K17" i="2"/>
  <c r="L17" i="2" s="1"/>
  <c r="K16" i="2"/>
  <c r="M16" i="2" s="1"/>
  <c r="K15" i="2"/>
  <c r="M15" i="2" s="1"/>
  <c r="M14" i="2"/>
  <c r="L14" i="2"/>
  <c r="K14" i="2"/>
  <c r="K13" i="2"/>
  <c r="L13" i="2" s="1"/>
  <c r="K12" i="2"/>
  <c r="M12" i="2" s="1"/>
  <c r="K11" i="2"/>
  <c r="M11" i="2" s="1"/>
  <c r="K10" i="2"/>
  <c r="L10" i="2" s="1"/>
  <c r="K9" i="2"/>
  <c r="L9" i="2" s="1"/>
  <c r="K8" i="2"/>
  <c r="M8" i="2" s="1"/>
  <c r="K7" i="2"/>
  <c r="L7" i="2" s="1"/>
  <c r="K6" i="2"/>
  <c r="L6" i="2" s="1"/>
  <c r="K5" i="2"/>
  <c r="L5" i="2" s="1"/>
  <c r="K4" i="2"/>
  <c r="M4" i="2" s="1"/>
  <c r="R6" i="5" l="1"/>
  <c r="M29" i="2"/>
  <c r="U27" i="5"/>
  <c r="M22" i="2"/>
  <c r="L43" i="2"/>
  <c r="M10" i="2"/>
  <c r="M17" i="2"/>
  <c r="L23" i="2"/>
  <c r="L30" i="2"/>
  <c r="L37" i="2"/>
  <c r="S6" i="5"/>
  <c r="R9" i="5"/>
  <c r="U17" i="3"/>
  <c r="M18" i="2"/>
  <c r="S7" i="2"/>
  <c r="M5" i="2"/>
  <c r="M6" i="2"/>
  <c r="M13" i="2"/>
  <c r="S9" i="2"/>
  <c r="M25" i="2"/>
  <c r="L26" i="2"/>
  <c r="M34" i="2"/>
  <c r="L41" i="2"/>
  <c r="R15" i="5"/>
  <c r="L11" i="2"/>
  <c r="S13" i="2"/>
  <c r="M9" i="2"/>
  <c r="L42" i="2"/>
  <c r="R7" i="3"/>
  <c r="L8" i="6"/>
  <c r="N8" i="6" s="1"/>
  <c r="R5" i="6"/>
  <c r="R6" i="6" s="1"/>
  <c r="L10" i="6" s="1"/>
  <c r="L16" i="2"/>
  <c r="L28" i="2"/>
  <c r="L33" i="2"/>
  <c r="L38" i="2"/>
  <c r="N53" i="4"/>
  <c r="N41" i="4"/>
  <c r="N29" i="4"/>
  <c r="N17" i="4"/>
  <c r="N5" i="4"/>
  <c r="N48" i="4"/>
  <c r="N36" i="4"/>
  <c r="N24" i="4"/>
  <c r="N12" i="4"/>
  <c r="N43" i="4"/>
  <c r="N31" i="4"/>
  <c r="N19" i="4"/>
  <c r="N7" i="4"/>
  <c r="N50" i="4"/>
  <c r="N38" i="4"/>
  <c r="N26" i="4"/>
  <c r="N14" i="4"/>
  <c r="N45" i="4"/>
  <c r="N33" i="4"/>
  <c r="N21" i="4"/>
  <c r="N9" i="4"/>
  <c r="N52" i="4"/>
  <c r="N40" i="4"/>
  <c r="N28" i="4"/>
  <c r="N16" i="4"/>
  <c r="N4" i="4"/>
  <c r="N47" i="4"/>
  <c r="N35" i="4"/>
  <c r="N23" i="4"/>
  <c r="N11" i="4"/>
  <c r="N42" i="4"/>
  <c r="N30" i="4"/>
  <c r="N18" i="4"/>
  <c r="N6" i="4"/>
  <c r="N49" i="4"/>
  <c r="N37" i="4"/>
  <c r="N25" i="4"/>
  <c r="N13" i="4"/>
  <c r="N44" i="4"/>
  <c r="N32" i="4"/>
  <c r="N20" i="4"/>
  <c r="N8" i="4"/>
  <c r="L51" i="4"/>
  <c r="L39" i="4"/>
  <c r="L27" i="4"/>
  <c r="L15" i="4"/>
  <c r="L46" i="4"/>
  <c r="L34" i="4"/>
  <c r="L22" i="4"/>
  <c r="L10" i="4"/>
  <c r="L53" i="4"/>
  <c r="L41" i="4"/>
  <c r="L29" i="4"/>
  <c r="L17" i="4"/>
  <c r="L5" i="4"/>
  <c r="L48" i="4"/>
  <c r="L36" i="4"/>
  <c r="L24" i="4"/>
  <c r="L12" i="4"/>
  <c r="L43" i="4"/>
  <c r="L31" i="4"/>
  <c r="L19" i="4"/>
  <c r="L7" i="4"/>
  <c r="L50" i="4"/>
  <c r="L38" i="4"/>
  <c r="L26" i="4"/>
  <c r="L14" i="4"/>
  <c r="L45" i="4"/>
  <c r="L33" i="4"/>
  <c r="L21" i="4"/>
  <c r="L9" i="4"/>
  <c r="L52" i="4"/>
  <c r="L40" i="4"/>
  <c r="L28" i="4"/>
  <c r="L16" i="4"/>
  <c r="L4" i="4"/>
  <c r="L47" i="4"/>
  <c r="L35" i="4"/>
  <c r="L23" i="4"/>
  <c r="L11" i="4"/>
  <c r="L42" i="4"/>
  <c r="L30" i="4"/>
  <c r="L18" i="4"/>
  <c r="L4" i="2"/>
  <c r="L20" i="4"/>
  <c r="M8" i="6"/>
  <c r="L19" i="2"/>
  <c r="L31" i="2"/>
  <c r="L6" i="4"/>
  <c r="L13" i="4"/>
  <c r="N27" i="4"/>
  <c r="L49" i="4"/>
  <c r="S9" i="5"/>
  <c r="U25" i="5" s="1"/>
  <c r="M7" i="2"/>
  <c r="L12" i="2"/>
  <c r="L24" i="2"/>
  <c r="L39" i="2"/>
  <c r="R7" i="2"/>
  <c r="U18" i="2" s="1"/>
  <c r="L48" i="6"/>
  <c r="L45" i="6"/>
  <c r="L42" i="6"/>
  <c r="L39" i="6"/>
  <c r="L36" i="6"/>
  <c r="L33" i="6"/>
  <c r="L30" i="6"/>
  <c r="L27" i="6"/>
  <c r="L24" i="6"/>
  <c r="L21" i="6"/>
  <c r="L18" i="6"/>
  <c r="L12" i="6"/>
  <c r="L9" i="6"/>
  <c r="L6" i="6"/>
  <c r="L8" i="4"/>
  <c r="N22" i="4"/>
  <c r="L44" i="4"/>
  <c r="L11" i="6"/>
  <c r="L20" i="6"/>
  <c r="L29" i="6"/>
  <c r="L38" i="6"/>
  <c r="L47" i="6"/>
  <c r="L15" i="2"/>
  <c r="R9" i="2"/>
  <c r="N15" i="4"/>
  <c r="L37" i="4"/>
  <c r="N51" i="4"/>
  <c r="L27" i="2"/>
  <c r="U19" i="2"/>
  <c r="R17" i="5"/>
  <c r="R18" i="5" s="1"/>
  <c r="R19" i="5" s="1"/>
  <c r="L4" i="6"/>
  <c r="L13" i="6"/>
  <c r="L22" i="6"/>
  <c r="L40" i="6"/>
  <c r="L49" i="6"/>
  <c r="L10" i="7"/>
  <c r="M10" i="7" s="1"/>
  <c r="L5" i="7"/>
  <c r="M5" i="7" s="1"/>
  <c r="L7" i="7"/>
  <c r="M7" i="7" s="1"/>
  <c r="L9" i="7"/>
  <c r="M9" i="7" s="1"/>
  <c r="L4" i="7"/>
  <c r="M4" i="7" s="1"/>
  <c r="L11" i="7"/>
  <c r="M11" i="7" s="1"/>
  <c r="L6" i="7"/>
  <c r="M6" i="7" s="1"/>
  <c r="L8" i="7"/>
  <c r="M8" i="7" s="1"/>
  <c r="L8" i="2"/>
  <c r="L20" i="2"/>
  <c r="M32" i="2"/>
  <c r="L35" i="2"/>
  <c r="L40" i="2"/>
  <c r="R13" i="3"/>
  <c r="R10" i="3"/>
  <c r="S15" i="5"/>
  <c r="S13" i="3"/>
  <c r="S10" i="3"/>
  <c r="N10" i="4"/>
  <c r="L32" i="4"/>
  <c r="N46" i="4"/>
  <c r="L5" i="6"/>
  <c r="L14" i="6"/>
  <c r="L23" i="6"/>
  <c r="L32" i="6"/>
  <c r="L41" i="6"/>
  <c r="L50" i="6"/>
  <c r="S10" i="6"/>
  <c r="U18" i="3"/>
  <c r="N10" i="6" l="1"/>
  <c r="M10" i="6"/>
  <c r="L19" i="6"/>
  <c r="L28" i="6"/>
  <c r="L7" i="6"/>
  <c r="L16" i="6"/>
  <c r="L35" i="6"/>
  <c r="L53" i="6"/>
  <c r="L44" i="6"/>
  <c r="L17" i="6"/>
  <c r="L26" i="6"/>
  <c r="S15" i="2"/>
  <c r="O30" i="2" s="1"/>
  <c r="L37" i="6"/>
  <c r="L46" i="6"/>
  <c r="L25" i="6"/>
  <c r="L34" i="6"/>
  <c r="L31" i="6"/>
  <c r="R7" i="6"/>
  <c r="L15" i="6"/>
  <c r="L51" i="6"/>
  <c r="L43" i="6"/>
  <c r="L52" i="6"/>
  <c r="O43" i="2"/>
  <c r="O29" i="2"/>
  <c r="O10" i="2"/>
  <c r="O5" i="2"/>
  <c r="O15" i="2"/>
  <c r="R28" i="5"/>
  <c r="N50" i="6"/>
  <c r="M50" i="6"/>
  <c r="N41" i="6"/>
  <c r="M41" i="6"/>
  <c r="L45" i="3"/>
  <c r="M45" i="3" s="1"/>
  <c r="L33" i="3"/>
  <c r="M33" i="3" s="1"/>
  <c r="L21" i="3"/>
  <c r="M21" i="3" s="1"/>
  <c r="L9" i="3"/>
  <c r="M9" i="3" s="1"/>
  <c r="L52" i="3"/>
  <c r="M52" i="3" s="1"/>
  <c r="L40" i="3"/>
  <c r="M40" i="3" s="1"/>
  <c r="L28" i="3"/>
  <c r="M28" i="3" s="1"/>
  <c r="L16" i="3"/>
  <c r="M16" i="3" s="1"/>
  <c r="L4" i="3"/>
  <c r="L47" i="3"/>
  <c r="M47" i="3" s="1"/>
  <c r="L35" i="3"/>
  <c r="M35" i="3" s="1"/>
  <c r="L23" i="3"/>
  <c r="M23" i="3" s="1"/>
  <c r="L11" i="3"/>
  <c r="M11" i="3" s="1"/>
  <c r="L42" i="3"/>
  <c r="M42" i="3" s="1"/>
  <c r="L30" i="3"/>
  <c r="M30" i="3" s="1"/>
  <c r="L18" i="3"/>
  <c r="M18" i="3" s="1"/>
  <c r="L6" i="3"/>
  <c r="M6" i="3" s="1"/>
  <c r="L49" i="3"/>
  <c r="M49" i="3" s="1"/>
  <c r="L37" i="3"/>
  <c r="M37" i="3" s="1"/>
  <c r="L25" i="3"/>
  <c r="M25" i="3" s="1"/>
  <c r="L13" i="3"/>
  <c r="M13" i="3" s="1"/>
  <c r="L44" i="3"/>
  <c r="M44" i="3" s="1"/>
  <c r="L32" i="3"/>
  <c r="M32" i="3" s="1"/>
  <c r="L20" i="3"/>
  <c r="M20" i="3" s="1"/>
  <c r="L8" i="3"/>
  <c r="M8" i="3" s="1"/>
  <c r="L51" i="3"/>
  <c r="M51" i="3" s="1"/>
  <c r="L39" i="3"/>
  <c r="M39" i="3" s="1"/>
  <c r="L27" i="3"/>
  <c r="M27" i="3" s="1"/>
  <c r="L15" i="3"/>
  <c r="M15" i="3" s="1"/>
  <c r="L46" i="3"/>
  <c r="M46" i="3" s="1"/>
  <c r="L34" i="3"/>
  <c r="M34" i="3" s="1"/>
  <c r="L22" i="3"/>
  <c r="M22" i="3" s="1"/>
  <c r="L10" i="3"/>
  <c r="M10" i="3" s="1"/>
  <c r="L53" i="3"/>
  <c r="M53" i="3" s="1"/>
  <c r="L41" i="3"/>
  <c r="M41" i="3" s="1"/>
  <c r="L29" i="3"/>
  <c r="M29" i="3" s="1"/>
  <c r="L17" i="3"/>
  <c r="M17" i="3" s="1"/>
  <c r="L5" i="3"/>
  <c r="M5" i="3" s="1"/>
  <c r="L50" i="3"/>
  <c r="M50" i="3" s="1"/>
  <c r="L38" i="3"/>
  <c r="M38" i="3" s="1"/>
  <c r="L26" i="3"/>
  <c r="M26" i="3" s="1"/>
  <c r="L14" i="3"/>
  <c r="M14" i="3" s="1"/>
  <c r="L43" i="3"/>
  <c r="M43" i="3" s="1"/>
  <c r="L31" i="3"/>
  <c r="M31" i="3" s="1"/>
  <c r="L19" i="3"/>
  <c r="M19" i="3" s="1"/>
  <c r="L7" i="3"/>
  <c r="M7" i="3" s="1"/>
  <c r="L48" i="3"/>
  <c r="M48" i="3" s="1"/>
  <c r="L36" i="3"/>
  <c r="M36" i="3" s="1"/>
  <c r="L24" i="3"/>
  <c r="M24" i="3" s="1"/>
  <c r="L12" i="3"/>
  <c r="M12" i="3" s="1"/>
  <c r="R20" i="5"/>
  <c r="R29" i="5" s="1"/>
  <c r="N20" i="6"/>
  <c r="M20" i="6"/>
  <c r="N24" i="6"/>
  <c r="M24" i="6"/>
  <c r="N11" i="6"/>
  <c r="M11" i="6"/>
  <c r="N27" i="6"/>
  <c r="M27" i="6"/>
  <c r="N30" i="6"/>
  <c r="M30" i="6"/>
  <c r="R15" i="2"/>
  <c r="N38" i="2" s="1"/>
  <c r="N4" i="2"/>
  <c r="S7" i="4"/>
  <c r="S8" i="4" s="1"/>
  <c r="N23" i="6"/>
  <c r="M23" i="6"/>
  <c r="N33" i="6"/>
  <c r="M33" i="6"/>
  <c r="N5" i="6"/>
  <c r="M5" i="6"/>
  <c r="N36" i="6"/>
  <c r="M36" i="6"/>
  <c r="N29" i="6"/>
  <c r="M29" i="6"/>
  <c r="N39" i="6"/>
  <c r="M39" i="6"/>
  <c r="S17" i="5"/>
  <c r="S18" i="5" s="1"/>
  <c r="S20" i="5" s="1"/>
  <c r="S29" i="5" s="1"/>
  <c r="U26" i="5"/>
  <c r="N49" i="6"/>
  <c r="M49" i="6"/>
  <c r="N42" i="6"/>
  <c r="M42" i="6"/>
  <c r="N9" i="6"/>
  <c r="M9" i="6"/>
  <c r="N45" i="6"/>
  <c r="M45" i="6"/>
  <c r="N32" i="6"/>
  <c r="M32" i="6"/>
  <c r="N14" i="6"/>
  <c r="M14" i="6"/>
  <c r="N12" i="6"/>
  <c r="M12" i="6"/>
  <c r="N48" i="6"/>
  <c r="M48" i="6"/>
  <c r="N16" i="2"/>
  <c r="N21" i="6"/>
  <c r="M21" i="6"/>
  <c r="N13" i="6"/>
  <c r="M13" i="6"/>
  <c r="N47" i="6"/>
  <c r="M47" i="6"/>
  <c r="N15" i="6"/>
  <c r="M15" i="6"/>
  <c r="N51" i="6"/>
  <c r="M51" i="6"/>
  <c r="N40" i="6"/>
  <c r="M40" i="6"/>
  <c r="N6" i="6"/>
  <c r="M6" i="6"/>
  <c r="N31" i="6"/>
  <c r="M31" i="6"/>
  <c r="N47" i="3"/>
  <c r="O47" i="3" s="1"/>
  <c r="N35" i="3"/>
  <c r="O35" i="3" s="1"/>
  <c r="N23" i="3"/>
  <c r="O23" i="3" s="1"/>
  <c r="N11" i="3"/>
  <c r="O11" i="3" s="1"/>
  <c r="N42" i="3"/>
  <c r="O42" i="3" s="1"/>
  <c r="N30" i="3"/>
  <c r="O30" i="3" s="1"/>
  <c r="N18" i="3"/>
  <c r="O18" i="3" s="1"/>
  <c r="N6" i="3"/>
  <c r="O6" i="3" s="1"/>
  <c r="N49" i="3"/>
  <c r="O49" i="3" s="1"/>
  <c r="N37" i="3"/>
  <c r="O37" i="3" s="1"/>
  <c r="N25" i="3"/>
  <c r="O25" i="3" s="1"/>
  <c r="N13" i="3"/>
  <c r="O13" i="3" s="1"/>
  <c r="N44" i="3"/>
  <c r="O44" i="3" s="1"/>
  <c r="N32" i="3"/>
  <c r="O32" i="3" s="1"/>
  <c r="N20" i="3"/>
  <c r="O20" i="3" s="1"/>
  <c r="N8" i="3"/>
  <c r="O8" i="3" s="1"/>
  <c r="N51" i="3"/>
  <c r="O51" i="3" s="1"/>
  <c r="N39" i="3"/>
  <c r="O39" i="3" s="1"/>
  <c r="N27" i="3"/>
  <c r="O27" i="3" s="1"/>
  <c r="N15" i="3"/>
  <c r="O15" i="3" s="1"/>
  <c r="N46" i="3"/>
  <c r="O46" i="3" s="1"/>
  <c r="N34" i="3"/>
  <c r="O34" i="3" s="1"/>
  <c r="N22" i="3"/>
  <c r="O22" i="3" s="1"/>
  <c r="N10" i="3"/>
  <c r="O10" i="3" s="1"/>
  <c r="N53" i="3"/>
  <c r="O53" i="3" s="1"/>
  <c r="N41" i="3"/>
  <c r="O41" i="3" s="1"/>
  <c r="N29" i="3"/>
  <c r="O29" i="3" s="1"/>
  <c r="N17" i="3"/>
  <c r="O17" i="3" s="1"/>
  <c r="N5" i="3"/>
  <c r="O5" i="3" s="1"/>
  <c r="N48" i="3"/>
  <c r="O48" i="3" s="1"/>
  <c r="N36" i="3"/>
  <c r="O36" i="3" s="1"/>
  <c r="N24" i="3"/>
  <c r="O24" i="3" s="1"/>
  <c r="N12" i="3"/>
  <c r="O12" i="3" s="1"/>
  <c r="N43" i="3"/>
  <c r="O43" i="3" s="1"/>
  <c r="N31" i="3"/>
  <c r="O31" i="3" s="1"/>
  <c r="N19" i="3"/>
  <c r="O19" i="3" s="1"/>
  <c r="N7" i="3"/>
  <c r="O7" i="3" s="1"/>
  <c r="N50" i="3"/>
  <c r="O50" i="3" s="1"/>
  <c r="N38" i="3"/>
  <c r="O38" i="3" s="1"/>
  <c r="N26" i="3"/>
  <c r="O26" i="3" s="1"/>
  <c r="N14" i="3"/>
  <c r="O14" i="3" s="1"/>
  <c r="N52" i="3"/>
  <c r="O52" i="3" s="1"/>
  <c r="N40" i="3"/>
  <c r="O40" i="3" s="1"/>
  <c r="N28" i="3"/>
  <c r="O28" i="3" s="1"/>
  <c r="N16" i="3"/>
  <c r="O16" i="3" s="1"/>
  <c r="N4" i="3"/>
  <c r="N45" i="3"/>
  <c r="O45" i="3" s="1"/>
  <c r="N33" i="3"/>
  <c r="O33" i="3" s="1"/>
  <c r="N21" i="3"/>
  <c r="O21" i="3" s="1"/>
  <c r="N9" i="3"/>
  <c r="O9" i="3" s="1"/>
  <c r="N22" i="6"/>
  <c r="M22" i="6"/>
  <c r="R6" i="7"/>
  <c r="R7" i="7" s="1"/>
  <c r="R8" i="7" s="1"/>
  <c r="S13" i="6"/>
  <c r="R13" i="6"/>
  <c r="U13" i="6" s="1"/>
  <c r="N4" i="6"/>
  <c r="M4" i="6"/>
  <c r="N38" i="6"/>
  <c r="M38" i="6"/>
  <c r="N18" i="6"/>
  <c r="M18" i="6"/>
  <c r="R7" i="4"/>
  <c r="R8" i="4" s="1"/>
  <c r="N27" i="2" l="1"/>
  <c r="O13" i="2"/>
  <c r="N15" i="2"/>
  <c r="O27" i="2"/>
  <c r="O12" i="2"/>
  <c r="O4" i="2"/>
  <c r="O34" i="2"/>
  <c r="O42" i="2"/>
  <c r="O26" i="2"/>
  <c r="O11" i="2"/>
  <c r="O39" i="2"/>
  <c r="O31" i="2"/>
  <c r="O7" i="2"/>
  <c r="N24" i="2"/>
  <c r="O41" i="2"/>
  <c r="O24" i="2"/>
  <c r="M26" i="6"/>
  <c r="N26" i="6"/>
  <c r="N52" i="6"/>
  <c r="M52" i="6"/>
  <c r="N17" i="6"/>
  <c r="M17" i="6"/>
  <c r="N43" i="6"/>
  <c r="M43" i="6"/>
  <c r="N44" i="6"/>
  <c r="M44" i="6"/>
  <c r="N53" i="6"/>
  <c r="M53" i="6"/>
  <c r="O36" i="2"/>
  <c r="O6" i="2"/>
  <c r="O28" i="2"/>
  <c r="N35" i="6"/>
  <c r="M35" i="6"/>
  <c r="O9" i="2"/>
  <c r="O21" i="2"/>
  <c r="O16" i="2"/>
  <c r="N16" i="6"/>
  <c r="M16" i="6"/>
  <c r="O32" i="2"/>
  <c r="O25" i="2"/>
  <c r="O19" i="2"/>
  <c r="O40" i="2"/>
  <c r="N7" i="6"/>
  <c r="M7" i="6"/>
  <c r="N40" i="2"/>
  <c r="O17" i="2"/>
  <c r="O20" i="2"/>
  <c r="O37" i="2"/>
  <c r="N34" i="6"/>
  <c r="M34" i="6"/>
  <c r="N28" i="6"/>
  <c r="M28" i="6"/>
  <c r="O14" i="2"/>
  <c r="O22" i="2"/>
  <c r="O23" i="2"/>
  <c r="N25" i="6"/>
  <c r="M25" i="6"/>
  <c r="N19" i="6"/>
  <c r="M19" i="6"/>
  <c r="N35" i="2"/>
  <c r="O35" i="2"/>
  <c r="O8" i="2"/>
  <c r="O33" i="2"/>
  <c r="N46" i="6"/>
  <c r="M46" i="6"/>
  <c r="O18" i="2"/>
  <c r="O38" i="2"/>
  <c r="N37" i="6"/>
  <c r="M37" i="6"/>
  <c r="L52" i="5"/>
  <c r="M52" i="5" s="1"/>
  <c r="L12" i="5"/>
  <c r="M12" i="5" s="1"/>
  <c r="L34" i="5"/>
  <c r="M34" i="5" s="1"/>
  <c r="L37" i="5"/>
  <c r="M37" i="5" s="1"/>
  <c r="R10" i="7"/>
  <c r="U16" i="7"/>
  <c r="S19" i="5"/>
  <c r="N30" i="2"/>
  <c r="N41" i="2"/>
  <c r="N9" i="2"/>
  <c r="N36" i="2"/>
  <c r="N42" i="2"/>
  <c r="N43" i="2"/>
  <c r="N10" i="2"/>
  <c r="N11" i="2"/>
  <c r="N17" i="2"/>
  <c r="N14" i="2"/>
  <c r="N25" i="2"/>
  <c r="N26" i="2"/>
  <c r="N34" i="2"/>
  <c r="N13" i="2"/>
  <c r="N29" i="2"/>
  <c r="N7" i="2"/>
  <c r="N5" i="2"/>
  <c r="N23" i="2"/>
  <c r="N32" i="2"/>
  <c r="N21" i="2"/>
  <c r="N37" i="2"/>
  <c r="N18" i="2"/>
  <c r="N22" i="2"/>
  <c r="N6" i="2"/>
  <c r="L28" i="5"/>
  <c r="M28" i="5" s="1"/>
  <c r="L24" i="5"/>
  <c r="M24" i="5" s="1"/>
  <c r="L46" i="5"/>
  <c r="M46" i="5" s="1"/>
  <c r="L49" i="5"/>
  <c r="M49" i="5" s="1"/>
  <c r="L33" i="5"/>
  <c r="M33" i="5" s="1"/>
  <c r="L36" i="5"/>
  <c r="M36" i="5" s="1"/>
  <c r="L15" i="5"/>
  <c r="M15" i="5" s="1"/>
  <c r="L6" i="5"/>
  <c r="M6" i="5" s="1"/>
  <c r="L45" i="5"/>
  <c r="M45" i="5" s="1"/>
  <c r="L48" i="5"/>
  <c r="M48" i="5" s="1"/>
  <c r="L27" i="5"/>
  <c r="M27" i="5" s="1"/>
  <c r="L18" i="5"/>
  <c r="M18" i="5" s="1"/>
  <c r="L39" i="5"/>
  <c r="M39" i="5" s="1"/>
  <c r="L30" i="5"/>
  <c r="M30" i="5" s="1"/>
  <c r="L26" i="5"/>
  <c r="M26" i="5" s="1"/>
  <c r="L5" i="5"/>
  <c r="M5" i="5" s="1"/>
  <c r="L51" i="5"/>
  <c r="M51" i="5" s="1"/>
  <c r="L42" i="5"/>
  <c r="M42" i="5" s="1"/>
  <c r="N19" i="2"/>
  <c r="M4" i="3"/>
  <c r="R12" i="3" s="1"/>
  <c r="R14" i="3" s="1"/>
  <c r="R11" i="3"/>
  <c r="L38" i="5"/>
  <c r="M38" i="5" s="1"/>
  <c r="L17" i="5"/>
  <c r="M17" i="5" s="1"/>
  <c r="L8" i="5"/>
  <c r="M8" i="5" s="1"/>
  <c r="L11" i="5"/>
  <c r="M11" i="5" s="1"/>
  <c r="N8" i="2"/>
  <c r="L21" i="5"/>
  <c r="M21" i="5" s="1"/>
  <c r="L50" i="5"/>
  <c r="M50" i="5" s="1"/>
  <c r="L29" i="5"/>
  <c r="M29" i="5" s="1"/>
  <c r="L20" i="5"/>
  <c r="M20" i="5" s="1"/>
  <c r="L23" i="5"/>
  <c r="M23" i="5" s="1"/>
  <c r="S11" i="3"/>
  <c r="O4" i="3"/>
  <c r="S12" i="3" s="1"/>
  <c r="S14" i="3" s="1"/>
  <c r="S15" i="3" s="1"/>
  <c r="N33" i="2"/>
  <c r="N31" i="2"/>
  <c r="L16" i="5"/>
  <c r="M16" i="5" s="1"/>
  <c r="L7" i="5"/>
  <c r="M7" i="5" s="1"/>
  <c r="L41" i="5"/>
  <c r="M41" i="5" s="1"/>
  <c r="L32" i="5"/>
  <c r="M32" i="5" s="1"/>
  <c r="L35" i="5"/>
  <c r="M35" i="5" s="1"/>
  <c r="U15" i="4"/>
  <c r="R11" i="4"/>
  <c r="R10" i="4"/>
  <c r="N20" i="2"/>
  <c r="N12" i="2"/>
  <c r="L9" i="5"/>
  <c r="M9" i="5" s="1"/>
  <c r="L19" i="5"/>
  <c r="M19" i="5" s="1"/>
  <c r="L53" i="5"/>
  <c r="M53" i="5" s="1"/>
  <c r="L44" i="5"/>
  <c r="M44" i="5" s="1"/>
  <c r="L47" i="5"/>
  <c r="M47" i="5" s="1"/>
  <c r="L14" i="5"/>
  <c r="M14" i="5" s="1"/>
  <c r="N28" i="2"/>
  <c r="L40" i="5"/>
  <c r="M40" i="5" s="1"/>
  <c r="L31" i="5"/>
  <c r="M31" i="5" s="1"/>
  <c r="L10" i="5"/>
  <c r="M10" i="5" s="1"/>
  <c r="L13" i="5"/>
  <c r="M13" i="5" s="1"/>
  <c r="N39" i="2"/>
  <c r="S10" i="4"/>
  <c r="S11" i="4"/>
  <c r="L4" i="5"/>
  <c r="L43" i="5"/>
  <c r="M43" i="5" s="1"/>
  <c r="L22" i="5"/>
  <c r="M22" i="5" s="1"/>
  <c r="L25" i="5"/>
  <c r="M25" i="5" s="1"/>
  <c r="S8" i="6" l="1"/>
  <c r="S9" i="6" s="1"/>
  <c r="S11" i="6" s="1"/>
  <c r="R8" i="6"/>
  <c r="R9" i="6" s="1"/>
  <c r="S16" i="2"/>
  <c r="R16" i="2"/>
  <c r="U20" i="2" s="1"/>
  <c r="N49" i="5"/>
  <c r="O49" i="5" s="1"/>
  <c r="N37" i="5"/>
  <c r="O37" i="5" s="1"/>
  <c r="N25" i="5"/>
  <c r="O25" i="5" s="1"/>
  <c r="N13" i="5"/>
  <c r="O13" i="5" s="1"/>
  <c r="N44" i="5"/>
  <c r="O44" i="5" s="1"/>
  <c r="N32" i="5"/>
  <c r="O32" i="5" s="1"/>
  <c r="N20" i="5"/>
  <c r="O20" i="5" s="1"/>
  <c r="N8" i="5"/>
  <c r="O8" i="5" s="1"/>
  <c r="N51" i="5"/>
  <c r="O51" i="5" s="1"/>
  <c r="N39" i="5"/>
  <c r="O39" i="5" s="1"/>
  <c r="N27" i="5"/>
  <c r="O27" i="5" s="1"/>
  <c r="N15" i="5"/>
  <c r="O15" i="5" s="1"/>
  <c r="N46" i="5"/>
  <c r="O46" i="5" s="1"/>
  <c r="N34" i="5"/>
  <c r="O34" i="5" s="1"/>
  <c r="N22" i="5"/>
  <c r="O22" i="5" s="1"/>
  <c r="N10" i="5"/>
  <c r="O10" i="5" s="1"/>
  <c r="N53" i="5"/>
  <c r="O53" i="5" s="1"/>
  <c r="N41" i="5"/>
  <c r="O41" i="5" s="1"/>
  <c r="N29" i="5"/>
  <c r="O29" i="5" s="1"/>
  <c r="N17" i="5"/>
  <c r="O17" i="5" s="1"/>
  <c r="N5" i="5"/>
  <c r="O5" i="5" s="1"/>
  <c r="N48" i="5"/>
  <c r="O48" i="5" s="1"/>
  <c r="N36" i="5"/>
  <c r="O36" i="5" s="1"/>
  <c r="N24" i="5"/>
  <c r="O24" i="5" s="1"/>
  <c r="N12" i="5"/>
  <c r="O12" i="5" s="1"/>
  <c r="S28" i="5"/>
  <c r="N43" i="5"/>
  <c r="O43" i="5" s="1"/>
  <c r="N31" i="5"/>
  <c r="O31" i="5" s="1"/>
  <c r="N19" i="5"/>
  <c r="O19" i="5" s="1"/>
  <c r="N7" i="5"/>
  <c r="O7" i="5" s="1"/>
  <c r="N50" i="5"/>
  <c r="O50" i="5" s="1"/>
  <c r="N38" i="5"/>
  <c r="O38" i="5" s="1"/>
  <c r="N26" i="5"/>
  <c r="O26" i="5" s="1"/>
  <c r="N14" i="5"/>
  <c r="O14" i="5" s="1"/>
  <c r="N45" i="5"/>
  <c r="O45" i="5" s="1"/>
  <c r="N33" i="5"/>
  <c r="O33" i="5" s="1"/>
  <c r="N21" i="5"/>
  <c r="O21" i="5" s="1"/>
  <c r="N9" i="5"/>
  <c r="O9" i="5" s="1"/>
  <c r="N52" i="5"/>
  <c r="O52" i="5" s="1"/>
  <c r="N40" i="5"/>
  <c r="O40" i="5" s="1"/>
  <c r="N28" i="5"/>
  <c r="O28" i="5" s="1"/>
  <c r="N16" i="5"/>
  <c r="O16" i="5" s="1"/>
  <c r="N4" i="5"/>
  <c r="N47" i="5"/>
  <c r="O47" i="5" s="1"/>
  <c r="N35" i="5"/>
  <c r="O35" i="5" s="1"/>
  <c r="N6" i="5"/>
  <c r="O6" i="5" s="1"/>
  <c r="N42" i="5"/>
  <c r="O42" i="5" s="1"/>
  <c r="N11" i="5"/>
  <c r="O11" i="5" s="1"/>
  <c r="N18" i="5"/>
  <c r="O18" i="5" s="1"/>
  <c r="N23" i="5"/>
  <c r="O23" i="5" s="1"/>
  <c r="N30" i="5"/>
  <c r="O30" i="5" s="1"/>
  <c r="R15" i="3"/>
  <c r="U20" i="3" s="1"/>
  <c r="U19" i="3"/>
  <c r="N7" i="7"/>
  <c r="N9" i="7"/>
  <c r="N4" i="7"/>
  <c r="N11" i="7"/>
  <c r="N6" i="7"/>
  <c r="N8" i="7"/>
  <c r="N10" i="7"/>
  <c r="N5" i="7"/>
  <c r="R14" i="7"/>
  <c r="R18" i="7" s="1"/>
  <c r="R11" i="6"/>
  <c r="U14" i="6"/>
  <c r="M46" i="4"/>
  <c r="M34" i="4"/>
  <c r="M22" i="4"/>
  <c r="M10" i="4"/>
  <c r="M53" i="4"/>
  <c r="M41" i="4"/>
  <c r="M29" i="4"/>
  <c r="M17" i="4"/>
  <c r="M5" i="4"/>
  <c r="M48" i="4"/>
  <c r="M36" i="4"/>
  <c r="M24" i="4"/>
  <c r="M12" i="4"/>
  <c r="R16" i="4"/>
  <c r="M43" i="4"/>
  <c r="M31" i="4"/>
  <c r="M19" i="4"/>
  <c r="M7" i="4"/>
  <c r="M50" i="4"/>
  <c r="M38" i="4"/>
  <c r="M26" i="4"/>
  <c r="M14" i="4"/>
  <c r="M45" i="4"/>
  <c r="M33" i="4"/>
  <c r="M21" i="4"/>
  <c r="M9" i="4"/>
  <c r="M52" i="4"/>
  <c r="M40" i="4"/>
  <c r="M28" i="4"/>
  <c r="M16" i="4"/>
  <c r="M4" i="4"/>
  <c r="M47" i="4"/>
  <c r="M35" i="4"/>
  <c r="M23" i="4"/>
  <c r="M11" i="4"/>
  <c r="M42" i="4"/>
  <c r="M30" i="4"/>
  <c r="M18" i="4"/>
  <c r="M6" i="4"/>
  <c r="M49" i="4"/>
  <c r="M37" i="4"/>
  <c r="M25" i="4"/>
  <c r="M13" i="4"/>
  <c r="M39" i="4"/>
  <c r="M44" i="4"/>
  <c r="M8" i="4"/>
  <c r="M51" i="4"/>
  <c r="M15" i="4"/>
  <c r="M20" i="4"/>
  <c r="M27" i="4"/>
  <c r="M32" i="4"/>
  <c r="O48" i="4"/>
  <c r="O36" i="4"/>
  <c r="O24" i="4"/>
  <c r="O12" i="4"/>
  <c r="O43" i="4"/>
  <c r="O31" i="4"/>
  <c r="O19" i="4"/>
  <c r="O7" i="4"/>
  <c r="S16" i="4"/>
  <c r="O50" i="4"/>
  <c r="O38" i="4"/>
  <c r="O26" i="4"/>
  <c r="O14" i="4"/>
  <c r="O45" i="4"/>
  <c r="O33" i="4"/>
  <c r="O21" i="4"/>
  <c r="O9" i="4"/>
  <c r="O52" i="4"/>
  <c r="O40" i="4"/>
  <c r="O28" i="4"/>
  <c r="O16" i="4"/>
  <c r="O4" i="4"/>
  <c r="O47" i="4"/>
  <c r="O35" i="4"/>
  <c r="O23" i="4"/>
  <c r="O11" i="4"/>
  <c r="O42" i="4"/>
  <c r="O30" i="4"/>
  <c r="O18" i="4"/>
  <c r="O6" i="4"/>
  <c r="O49" i="4"/>
  <c r="O37" i="4"/>
  <c r="O25" i="4"/>
  <c r="O13" i="4"/>
  <c r="O44" i="4"/>
  <c r="O32" i="4"/>
  <c r="O20" i="4"/>
  <c r="O8" i="4"/>
  <c r="O51" i="4"/>
  <c r="O39" i="4"/>
  <c r="O27" i="4"/>
  <c r="O15" i="4"/>
  <c r="O53" i="4"/>
  <c r="O17" i="4"/>
  <c r="O22" i="4"/>
  <c r="O29" i="4"/>
  <c r="O34" i="4"/>
  <c r="O41" i="4"/>
  <c r="O10" i="4"/>
  <c r="O5" i="4"/>
  <c r="O46" i="4"/>
  <c r="M4" i="5"/>
  <c r="R23" i="5"/>
  <c r="R12" i="4" l="1"/>
  <c r="R13" i="4" s="1"/>
  <c r="R17" i="7"/>
  <c r="R11" i="7"/>
  <c r="O8" i="7" s="1"/>
  <c r="O4" i="5"/>
  <c r="S23" i="5"/>
  <c r="O7" i="7"/>
  <c r="R22" i="5"/>
  <c r="R21" i="5"/>
  <c r="S12" i="4"/>
  <c r="S13" i="4" s="1"/>
  <c r="U16" i="4" l="1"/>
  <c r="O4" i="7"/>
  <c r="U18" i="7"/>
  <c r="O11" i="7"/>
  <c r="O10" i="7"/>
  <c r="O6" i="7"/>
  <c r="O9" i="7"/>
  <c r="O5" i="7"/>
  <c r="S22" i="5"/>
  <c r="U29" i="5" s="1"/>
  <c r="S21" i="5"/>
  <c r="U28" i="5" s="1"/>
  <c r="R12" i="7" l="1"/>
  <c r="R13" i="7" s="1"/>
  <c r="U17" i="7" s="1"/>
</calcChain>
</file>

<file path=xl/sharedStrings.xml><?xml version="1.0" encoding="utf-8"?>
<sst xmlns="http://schemas.openxmlformats.org/spreadsheetml/2006/main" count="426" uniqueCount="309">
  <si>
    <t>Cvičení v Excelu k prezentaci: Ukazatele polohy a variability (kapitola 3)</t>
  </si>
  <si>
    <t>Sešit obsahuje zadání, vstupní data, pracovní oblast a řešení po krocích. Lze jej použít samostatně, bez prezentace.</t>
  </si>
  <si>
    <t>List</t>
  </si>
  <si>
    <t>Data</t>
  </si>
  <si>
    <t>Úkol</t>
  </si>
  <si>
    <t>U1_stred</t>
  </si>
  <si>
    <t>C4:E53: pořadí a seřazené počty výroků „a potom…“ u 50 dětí a 50 dospělých</t>
  </si>
  <si>
    <t>Úkol 1: počet údajů, průměr, medián a modus</t>
  </si>
  <si>
    <t>U2_variabilita</t>
  </si>
  <si>
    <t>Úkol 2: minimum, maximum, variační rozpětí, výběrový rozptyl a směrodatná odchylka</t>
  </si>
  <si>
    <t>U3_interval</t>
  </si>
  <si>
    <t>Úkol 3: podíl hodnot v intervalu od m − 2s do m + 2s</t>
  </si>
  <si>
    <t>U4_boxplot</t>
  </si>
  <si>
    <t>Úkol 4: údaje pro krabicový graf (kvartily, mezikvartilové rozpětí, pomocné meze, konce vousů)</t>
  </si>
  <si>
    <t>U5_orezani</t>
  </si>
  <si>
    <t>Úkol 5: 10% ořezaný průměr</t>
  </si>
  <si>
    <t>U6_transformace</t>
  </si>
  <si>
    <t>C4:D11: číslo a osm hodnot</t>
  </si>
  <si>
    <t>Úkol 6: převod dat na nový soubor se směrodatnou odchylkou 1</t>
  </si>
  <si>
    <t>Jak s listy pracovat</t>
  </si>
  <si>
    <t>Stejná data</t>
  </si>
  <si>
    <t>Blok „Potřebné vztahy“</t>
  </si>
  <si>
    <t>Žluté buňky</t>
  </si>
  <si>
    <t>Modrý blok „Řešení po krocích“</t>
  </si>
  <si>
    <t>Zelené řádky</t>
  </si>
  <si>
    <t>Konvence</t>
  </si>
  <si>
    <t>Listy U1 až U5 obsahují tatáž data na stejných adresách; každý list řeší jeden úkol.</t>
  </si>
  <si>
    <t>Pod zadáním jsou obecné rovnice potřebné k úkolu, zapsané ve značení učebnice a s vysvětlením symbolů. Do nich dosazujete hodnoty z dat; řešení po krocích ukazuje, jak.</t>
  </si>
  <si>
    <t>Pracovní oblast pro vlastní výpočty. Vyplňte ji dříve, než se podíváte na řešení.</t>
  </si>
  <si>
    <t>Řešení jen základními operacemi (sčítání, odčítání, násobení, dělení, SUMA, POČET, odmocnina) včetně pomocných sloupců. Sledujte, co který krok dělá a proč.</t>
  </si>
  <si>
    <t>Kontrola hotovou funkcí Excelu (s anglickým názvem). Sloupec „Shoda s kroky“ ukazuje, zda funkce vrací totéž co výpočet po krocích. Funkce výpočet zkracuje, ale nenahrazuje porozumění postupu.</t>
  </si>
  <si>
    <t>České názvy funkcí, desetinná čárka, středník mezi argumenty. Kvantily podle funkce PERCENTIL.INC, výběrový rozptyl a směrodatná odchylka s dělením n − 1. Mezivýpočty nezaokrouhlujte; výsledky uvádějte zpravidla na dvě desetinná místa.</t>
  </si>
  <si>
    <t>Zdroj a původ dat</t>
  </si>
  <si>
    <t>Úlohy jsou českou adaptací úloh z učebnice: Howell, D. C. (2013). Statistical methods for psychology (8. vyd.). Wadsworth, Cengage Learning.</t>
  </si>
  <si>
    <t>Listy U1–U5: data z úloh 2.1 (s. 55) a 2.4 (s. 56), zde seřazená vzestupně; úkoly podle úloh 2.40–2.44 a 2.46 (s. 62). Úkol 5 je inspirován úlohou 2.51 (s. 62), která v originále používá jiná data. List U6: úloha 2.45 (s. 62).</t>
  </si>
  <si>
    <t>Data jsou převzata z učebnicových zadání. Howell u nich neuvádí konkrétní empirickou studii; nepovažujte je za doložené výsledky výzkumu.</t>
  </si>
  <si>
    <t>Úkol 1: Počet, průměr, medián a modus</t>
  </si>
  <si>
    <t>Dvě nezávislé skupiny: řádek není pár dítě–dospělý, pouze stejné pořadí v seřazené řadě. Jednotka: počet výroků. Žádný údaj nechybí.</t>
  </si>
  <si>
    <t>Zadání</t>
  </si>
  <si>
    <t>Pořadí</t>
  </si>
  <si>
    <t>Děti</t>
  </si>
  <si>
    <t>Dospělí</t>
  </si>
  <si>
    <t>Pracovní oblast</t>
  </si>
  <si>
    <t>Řešení po krocích</t>
  </si>
  <si>
    <t>Vzorec pro děti (sloupec R)</t>
  </si>
  <si>
    <t>Shoda s kroky</t>
  </si>
  <si>
    <t>Děti při vyprávění často řadí děj jako sled událostí a opakují výrok „a potom…“. Experimentátorka požádala 50 dětí a 50 dospělých, aby jí vyprávěli o zhlédnutém filmu, a u každého spočítala, kolikrát tento výrok použil. Hodnoty obou skupin jsou seřazeny vzestupně v D4:E53; sloupec C udává pořadí v seřazené řadě.</t>
  </si>
  <si>
    <t>Úkol 1. Pro děti i dospělé určete počet údajů, průměr, medián a modus. Která skupina používá výrok častěji? Čím se liší průměr a medián u dětí?</t>
  </si>
  <si>
    <t>Postup: počítejte nejprve po krocích základními operacemi ve žluté oblasti. Funkci Excelu použijte až nakonec, jen pro kontrolu výsledku.</t>
  </si>
  <si>
    <t>Zdroj: Howell (2013), s. 55–56, úlohy 2.1 a 2.4 (data). Česká adaptace.</t>
  </si>
  <si>
    <t>Počet údajů</t>
  </si>
  <si>
    <t>Součet hodnot</t>
  </si>
  <si>
    <t>Průměr</t>
  </si>
  <si>
    <t>Medián</t>
  </si>
  <si>
    <t>Modus</t>
  </si>
  <si>
    <t>Potřebné vztahy</t>
  </si>
  <si>
    <t>m = průměr; n = počet údajů; xᵢ = i-tá hodnota. Znak Σ znamená součet všech hodnot.</t>
  </si>
  <si>
    <t>x̃ = medián při sudém n; x(i), v rovnici s indexem v závorce, = hodnota s pořadím i v seřazené řadě. Při lichém n je mediánem prostřední hodnota. Modus nemá vzorec: je to hodnota s nejvyšší četností.</t>
  </si>
  <si>
    <t>Hodnota</t>
  </si>
  <si>
    <t>Četnost: děti</t>
  </si>
  <si>
    <t>Četnost: dospělí</t>
  </si>
  <si>
    <t>Modus: děti</t>
  </si>
  <si>
    <t>Modus: dospělí</t>
  </si>
  <si>
    <t>1. Počet údajů n</t>
  </si>
  <si>
    <t>= POČET(D4:D53)</t>
  </si>
  <si>
    <t>2. Součet všech hodnot</t>
  </si>
  <si>
    <t>= SUMA(D4:D53)</t>
  </si>
  <si>
    <t>3. Průměr = součet / n</t>
  </si>
  <si>
    <t>= R6/R5</t>
  </si>
  <si>
    <t>Medián (n je sudé: průměr dvou prostředních hodnot)</t>
  </si>
  <si>
    <t>4. Pořadí první prostřední hodnoty = n / 2</t>
  </si>
  <si>
    <t>= R5/2</t>
  </si>
  <si>
    <t>5. Pořadí druhé prostřední hodnoty = n / 2 + 1</t>
  </si>
  <si>
    <t>= R5/2+1</t>
  </si>
  <si>
    <t>6. Hodnota s pořadím 25 (řádek 28)</t>
  </si>
  <si>
    <t>= D28</t>
  </si>
  <si>
    <t>7. Hodnota s pořadím 26 (řádek 29)</t>
  </si>
  <si>
    <t>= D29</t>
  </si>
  <si>
    <t>8. Medián = (obě prostřední hodnoty) / 2</t>
  </si>
  <si>
    <t>= (R11+R12)/2</t>
  </si>
  <si>
    <t>Modus (tabulka četností ve sloupcích K–O)</t>
  </si>
  <si>
    <t>9. Nejvyšší četnost v tabulce</t>
  </si>
  <si>
    <t>= MAX(L4:L43)</t>
  </si>
  <si>
    <t>10. Hodnota s nejvyšší četností = modus</t>
  </si>
  <si>
    <t>= MAX(N4:N43)</t>
  </si>
  <si>
    <t>Kontrola funkcí Excelu</t>
  </si>
  <si>
    <t>Kontrola: PRŮMĚR (AVERAGE)</t>
  </si>
  <si>
    <t>= PRŮMĚR(D4:D53)</t>
  </si>
  <si>
    <t>Kontrola: MEDIAN (MEDIAN)</t>
  </si>
  <si>
    <t>= MEDIAN(D4:D53)</t>
  </si>
  <si>
    <t>Kontrola: MODE.SNGL (MODE.SNGL)</t>
  </si>
  <si>
    <t>= MODE.SNGL(D4:D53)</t>
  </si>
  <si>
    <t>Postup a interpretace</t>
  </si>
  <si>
    <t>Průměr: všechny hodnoty sečteme a součet vydělíme jejich počtem; 945 / 50 = 18,90 u dětí a 510 / 50 = 10,20 u dospělých. Medián: hodnot je 50, tedy sudý počet, proto průměrujeme hodnoty s pořadím 25 a 26 v seřazené řadě; vychází 18 a 10. Modus: pomocná tabulka počítá, kolikrát se každá hodnota od 1 do 40 vyskytla (COUNTIFS, anglicky COUNTIFS, znáte z kapitoly 2); modus je hodnota s nejvyšší četností, tedy 18 (10 dětí) a 10 (8 dospělých). Sloupce N a O vypíší hodnotu jen v řádku s nejvyšší četností; kdyby nejvyšší četnost sdílelo více hodnot, uvedli bychom všechny a funkce MODE.SNGL by vrátila jen jednu z nich. Interpretace: děti používají výrok zhruba dvakrát častěji než dospělí. U dětí je průměr (18,90) vyšší než medián (18), protože dvě vysoké hodnoty (31 a 40) zvyšují součet, ale prostřední polohu nemění.</t>
  </si>
  <si>
    <t>Úkol 2: Rozpětí, rozptyl a směrodatná odchylka</t>
  </si>
  <si>
    <t>Úkol 2. Pro obě skupiny určete minimum, maximum, variační rozpětí, výběrový rozptyl a směrodatnou odchylku. Je směrodatná odchylka dětí výrazně větší než u dospělých? Čím to může být?</t>
  </si>
  <si>
    <t>Zdroj: Howell (2013), s. 62, úlohy 2.40–2.42. Česká adaptace.</t>
  </si>
  <si>
    <t>Minimum</t>
  </si>
  <si>
    <t>Maximum</t>
  </si>
  <si>
    <t>Variační rozpětí</t>
  </si>
  <si>
    <t>Součet čtverců odchylek</t>
  </si>
  <si>
    <t>Výběrový rozptyl</t>
  </si>
  <si>
    <t>Směrodatná odchylka</t>
  </si>
  <si>
    <t>x(n) = maximum, x(1) = minimum; v seřazené řadě poslední a první hodnota.</t>
  </si>
  <si>
    <t>s² = výběrový rozptyl; xᵢ − m = odchylka hodnoty od průměru m; n − 1 = stupně volnosti.</t>
  </si>
  <si>
    <t>s = směrodatná odchylka; je v původních jednotkách měření.</t>
  </si>
  <si>
    <t>Odchylka: děti</t>
  </si>
  <si>
    <t>Čtverec: děti</t>
  </si>
  <si>
    <t>Odchylka: dospělí</t>
  </si>
  <si>
    <t>Čtverec: dospělí</t>
  </si>
  <si>
    <t>Variační rozpětí (data jsou seřazená)</t>
  </si>
  <si>
    <t>1. Minimum = hodnota s pořadím 1</t>
  </si>
  <si>
    <t>= D4</t>
  </si>
  <si>
    <t>2. Maximum = hodnota s pořadím 50</t>
  </si>
  <si>
    <t>= D53</t>
  </si>
  <si>
    <t>3. Variační rozpětí = maximum − minimum</t>
  </si>
  <si>
    <t>= R6-R5</t>
  </si>
  <si>
    <t>Rozptyl a směrodatná odchylka</t>
  </si>
  <si>
    <t>4. Počet údajů n</t>
  </si>
  <si>
    <t>5. Průměr = součet / n</t>
  </si>
  <si>
    <t>= SUMA(D4:D53)/R9</t>
  </si>
  <si>
    <t>6. Součet odchylek od průměru (má být 0; zaokrouhleno)</t>
  </si>
  <si>
    <t>= ZAOKROUHLIT(SUMA(L4:L53);10)</t>
  </si>
  <si>
    <t>7. Součet čtverců odchylek</t>
  </si>
  <si>
    <t>= SUMA(M4:M53)</t>
  </si>
  <si>
    <t>8. Stupně volnosti = n − 1</t>
  </si>
  <si>
    <t>= R9-1</t>
  </si>
  <si>
    <t>9. Výběrový rozptyl = součet čtverců / (n − 1)</t>
  </si>
  <si>
    <t>= R12/R13</t>
  </si>
  <si>
    <t>10. Směrodatná odchylka = odmocnina z rozptylu</t>
  </si>
  <si>
    <t>= ODMOCNINA(R14)</t>
  </si>
  <si>
    <t>Kontrola: MIN (MIN)</t>
  </si>
  <si>
    <t>= MIN(D4:D53)</t>
  </si>
  <si>
    <t>Kontrola: MAX (MAX)</t>
  </si>
  <si>
    <t>= MAX(D4:D53)</t>
  </si>
  <si>
    <t>Kontrola: VAR.S (VAR.S)</t>
  </si>
  <si>
    <t>= VAR.S(D4:D53)</t>
  </si>
  <si>
    <t>Kontrola: SMODCH.VÝBĚR.S (STDEV.S)</t>
  </si>
  <si>
    <t>= SMODCH.VÝBĚR.S(D4:D53)</t>
  </si>
  <si>
    <t>Variační rozpětí: v seřazené řadě je minimum první a maximum poslední hodnota; 40 − 10 = 30 u dětí a 17 − 1 = 16 u dospělých. Rozptyl: (1) spočítáme průměr; (2) od každé hodnoty odečteme průměr a dostaneme odchylky (sloupce L a N); jejich součet je vždy 0, proto je nelze prostě zprůměrovat; (3) každou odchylku umocníme na druhou (sloupce M a O), čímž zmizí znaménka a vzdálené hodnoty získají větší váhu; (4) čtverce sečteme: 990,50 u dětí a 568,00 u dospělých; (5) součet vydělíme n − 1 = 49, protože průměr jsme odhadli z týchž dat: 20,21 a 11,59. Směrodatná odchylka je odmocnina z rozptylu a vrací nás k původní jednotce (počet výroků): 4,50 a 3,40. ODMOCNINA (SQRT) vrací druhou odmocninu; stejně by posloužil zápis ^0,5. Interpretace: směrodatná odchylka dětí je asi o třetinu větší. Podívejte se do sloupce M: dvě nejvyšší hodnoty (31 a 40) přispívají čtverci 146,41 a 445,21, tedy více než polovinou celého součtu čtverců. Variační rozpětí (30 a 16) závisí jen na dvou krajních hodnotách, proto rozdíl mezi skupinami zveličuje.</t>
  </si>
  <si>
    <t>Úkol 3: Podíl hodnot v intervalu m ± 2s</t>
  </si>
  <si>
    <t>Úkol 3. Kolik procent hodnot leží v každé skupině v intervalu od m − 2s do m + 2s (včetně krajních bodů)? Dá se takový podíl určit jen z průměru a směrodatné odchylky, bez dat?</t>
  </si>
  <si>
    <t>Zdroj: Howell (2013), s. 62, úlohy 2.43–2.44. Česká adaptace s doplňující otázkou.</t>
  </si>
  <si>
    <t>Průměr m</t>
  </si>
  <si>
    <t>Směrodatná odchylka s</t>
  </si>
  <si>
    <t>Dolní mez: m − 2s</t>
  </si>
  <si>
    <t>Horní mez: m + 2s</t>
  </si>
  <si>
    <t>Počet hodnot v intervalu</t>
  </si>
  <si>
    <t>Podíl hodnot v intervalu</t>
  </si>
  <si>
    <t>s = směrodatná odchylka; m = průměr; xᵢ = i-tá hodnota; n = počet údajů.</t>
  </si>
  <si>
    <t>Hodnota leží v intervalu, je-li alespoň rovna dolní mezi a nejvýše rovna horní mezi.</t>
  </si>
  <si>
    <t>Podíl vynásobený 100 udává procento hodnot v intervalu.</t>
  </si>
  <si>
    <t>Čtverec odchylky: děti</t>
  </si>
  <si>
    <t>V intervalu: děti</t>
  </si>
  <si>
    <t>Čtverec odchylky: dospělí</t>
  </si>
  <si>
    <t>V intervalu: dospělí</t>
  </si>
  <si>
    <t>Průměr a směrodatná odchylka (podrobně na listu U2_variabilita)</t>
  </si>
  <si>
    <t>2. Průměr m = součet / n</t>
  </si>
  <si>
    <t>= SUMA(D4:D53)/R5</t>
  </si>
  <si>
    <t>3. Součet čtverců odchylek</t>
  </si>
  <si>
    <t>= SUMA(L4:L53)</t>
  </si>
  <si>
    <t>4. Směrodatná odchylka s = odmocnina ze součtu čtverců / (n − 1)</t>
  </si>
  <si>
    <t>= ODMOCNINA(R7/(R5-1))</t>
  </si>
  <si>
    <t>Interval a podíl hodnot</t>
  </si>
  <si>
    <t>5. Dolní mez = m − 2 × s</t>
  </si>
  <si>
    <t>= R6-2*R8</t>
  </si>
  <si>
    <t>6. Horní mez = m + 2 × s</t>
  </si>
  <si>
    <t>= R6+2*R8</t>
  </si>
  <si>
    <t>7. Počet hodnot v intervalu = součet jedniček</t>
  </si>
  <si>
    <t>8. Podíl = počet v intervalu / n</t>
  </si>
  <si>
    <t>= R12/R5</t>
  </si>
  <si>
    <t>Kontrola: COUNTIFS (COUNTIFS)</t>
  </si>
  <si>
    <t>= COUNTIFS(D4:D53;"&gt;="&amp;R10;D4:D53;"&lt;="&amp;R11)</t>
  </si>
  <si>
    <t>Nejprve potřebujeme průměr a směrodatnou odchylku (stejný postup jako v úkolu 2). Meze intervalu získáme odečtením a přičtením dvojnásobku směrodatné odchylky: u dětí 18,90 ± 2 × 4,50, tedy od 9,91 do 27,89; u dospělých 10,20 ± 2 × 3,40, tedy od 3,39 do 17,01. Pomocné sloupce M a O dají každé hodnotě jedničku, pokud leží mezi mezemi (včetně), jinak nulu: KDYŽ (IF) vrací 1 při splnění podmínky a funkce A (AND) vyžaduje splnění obou nerovností zároveň. Součet jedniček je počet hodnot v intervalu, po vydělení n podíl. V obou skupinách leží v intervalu 48 z 50 hodnot, tedy 96,0 %; mimo jsou u dětí hodnoty 31 a 40, u dospělých 1 a 3. Protože jsou data seřazená, vidíte jedničky jako souvislý blok a hodnoty mimo interval na jeho okrajích. Kontrolní funkce COUNTIFS spočítá totéž bez pomocného sloupce; znak &amp; připojuje k operátoru hodnotu z buňky. Interpretace: shoda 96 % v obou skupinách není obecné pravidlo. Bez předpokladu o tvaru rozdělení průměr a směrodatná odchylka podíl hodnot v takovém intervalu neurčují; je třeba jej spočítat z dat.</t>
  </si>
  <si>
    <t>Úkol 4: Údaje pro krabicový graf</t>
  </si>
  <si>
    <t>Úkol 4. Připravte údaje pro krabicový graf obou skupin: 1. a 3. kvartil, mezikvartilové rozpětí, pomocné meze (1,5násobek mezikvartilového rozpětí od kvartilů), konce vousů a počet bodů za mezemi. Krabicový graf dospělých načrtněte na papír.</t>
  </si>
  <si>
    <t>Zdroj: Howell (2013), s. 62, úloha 2.46 (dospělí); děti doplněny. Česká adaptace.</t>
  </si>
  <si>
    <t>1. kvartil</t>
  </si>
  <si>
    <t>3. kvartil</t>
  </si>
  <si>
    <t>Mezikvartilové rozpětí</t>
  </si>
  <si>
    <t>Dolní pomocná mez</t>
  </si>
  <si>
    <t>Horní pomocná mez</t>
  </si>
  <si>
    <t>Konec dolního vousu</t>
  </si>
  <si>
    <t>Konec horního vousu</t>
  </si>
  <si>
    <t>Počet bodů za mezemi</t>
  </si>
  <si>
    <t>p = úroveň kvantilu jako podíl: 0,25 pro 1. kvartil, 0,75 pro 3. kvartil.</t>
  </si>
  <si>
    <t>qₚ = kvantil na úrovni p; i = celá část pozice; x(i) a x(i+1) = sousední hodnoty v seřazené řadě.</t>
  </si>
  <si>
    <t>Vousy končí na krajních pozorováních uvnitř pomocných mezí (včetně mezí); hodnoty za mezemi se kreslí samostatně.</t>
  </si>
  <si>
    <t>Uvnitř mezí: děti</t>
  </si>
  <si>
    <t>Hodnota uvnitř: děti</t>
  </si>
  <si>
    <t>Uvnitř mezí: dospělí</t>
  </si>
  <si>
    <t>Hodnota uvnitř: dospělí</t>
  </si>
  <si>
    <t>1. kvartil (úroveň p = 0,25)</t>
  </si>
  <si>
    <t>2. Pozice = 1 + (n − 1) × 0,25</t>
  </si>
  <si>
    <t>= 1+(R5-1)*0,25</t>
  </si>
  <si>
    <t>3. Nižší sousední hodnota: pořadí 13 (řádek 16)</t>
  </si>
  <si>
    <t>= D16</t>
  </si>
  <si>
    <t>4. Vyšší sousední hodnota: pořadí 14 (řádek 17)</t>
  </si>
  <si>
    <t>= D17</t>
  </si>
  <si>
    <t>5. 1. kvartil = nižší + (pozice − 13) × (vyšší − nižší)</t>
  </si>
  <si>
    <t>= R7+(R6-13)*(R8-R7)</t>
  </si>
  <si>
    <t>Medián a 3. kvartil (úrovně p = 0,50 a 0,75)</t>
  </si>
  <si>
    <t>6. Medián: pozice 25,5, tedy průměr hodnot s pořadím 25 a 26</t>
  </si>
  <si>
    <t>= (D28+D29)/2</t>
  </si>
  <si>
    <t>7. Pozice = 1 + (n − 1) × 0,75</t>
  </si>
  <si>
    <t>= 1+(R5-1)*0,75</t>
  </si>
  <si>
    <t>8. Nižší sousední hodnota: pořadí 37 (řádek 40)</t>
  </si>
  <si>
    <t>= D40</t>
  </si>
  <si>
    <t>9. Vyšší sousední hodnota: pořadí 38 (řádek 41)</t>
  </si>
  <si>
    <t>= D41</t>
  </si>
  <si>
    <t>10. 3. kvartil = nižší + (pozice − 37) × (vyšší − nižší)</t>
  </si>
  <si>
    <t>= R13+(R12-37)*(R14-R13)</t>
  </si>
  <si>
    <t>Krabice, pomocné meze a vousy</t>
  </si>
  <si>
    <t>11. Mezikvartilové rozpětí = 3. kvartil − 1. kvartil</t>
  </si>
  <si>
    <t>= R15-R9</t>
  </si>
  <si>
    <t>12. 1,5 × mezikvartilové rozpětí</t>
  </si>
  <si>
    <t>= 1,5*R17</t>
  </si>
  <si>
    <t>13. Dolní pomocná mez = 1. kvartil − 1,5 × rozpětí</t>
  </si>
  <si>
    <t>= R9-R18</t>
  </si>
  <si>
    <t>14. Horní pomocná mez = 3. kvartil + 1,5 × rozpětí</t>
  </si>
  <si>
    <t>= R15+R18</t>
  </si>
  <si>
    <t>15. Konec dolního vousu = nejmenší hodnota uvnitř mezí</t>
  </si>
  <si>
    <t>= MIN(M4:M53)</t>
  </si>
  <si>
    <t>16. Konec horního vousu = největší hodnota uvnitř mezí</t>
  </si>
  <si>
    <t>= MAX(M4:M53)</t>
  </si>
  <si>
    <t>17. Počet bodů za mezemi = n − počet hodnot uvnitř</t>
  </si>
  <si>
    <t>= R5-SUMA(L4:L53)</t>
  </si>
  <si>
    <t>Kontrola: PERCENTIL.INC (PERCENTILE.INC), p = 0,25</t>
  </si>
  <si>
    <t>= PERCENTIL.INC(D4:D53;0,25)</t>
  </si>
  <si>
    <t>Kontrola: PERCENTIL.INC (PERCENTILE.INC), p = 0,75</t>
  </si>
  <si>
    <t>= PERCENTIL.INC(D4:D53;0,75)</t>
  </si>
  <si>
    <t>Kontrola: MINIFS (MINIFS)</t>
  </si>
  <si>
    <t>= MINIFS(D4:D53;D4:D53;"&gt;="&amp;R19)</t>
  </si>
  <si>
    <t>Kontrola: MAXIFS (MAXIFS)</t>
  </si>
  <si>
    <t>= MAXIFS(D4:D53;D4:D53;"&lt;="&amp;R20)</t>
  </si>
  <si>
    <t>Kvartily podle konvence PERCENTIL.INC: pozice v seřazené řadě je 1 + (n − 1) × p. Pro p = 0,25 vychází 1 + 49 × 0,25 = 13,25: kvartil leží mezi hodnotami s pořadím 13 a 14, ve čtvrtině cesty od nižší k vyšší. U dospělých jsou to hodnoty 8 a 9, tedy 8 + 0,25 × (9 − 8) = 8,25; u dětí jsou obě sousední hodnoty 17, takže 1. kvartil je 17. Pro p = 0,75 je pozice 37,75 (mezi pořadím 37 a 38): 12 u dospělých a 20 u dětí. Mezikvartilové rozpětí je rozdíl kvartilů: 3,75 a 3. Pomocné meze leží 1,5násobek tohoto rozpětí pod 1. a nad 3. kvartilem: u dospělých 8,25 − 5,625 = 2,625 a 12 + 5,625 = 17,625; u dětí 12,5 a 24,5. Sloupce L a N označí jedničkou hodnoty uvnitř mezí; sloupce M a O je vypíší. Vous končí na krajním pozorování uvnitř mezí, ne na mezi samotné: u dospělých na 3 a 17, u dětí na 15 a 24. Hodnoty za mezemi zobrazíme samostatnými body: u dospělých hodnotu 1, u dětí pět hodnot (10, 11, 12, 31 a 40). Náčrt pro dospělé: krabice od 8,25 do 12 s čárou mediánu na 10, vousy k 3 a 17, samostatný bod na 1. Interpretace: u dětí je mezikvartilové rozpětí jen 3, proto pravidlo označí více bodů; jsou to podezřelá odlehlá pozorování, nikoli doložené chyby. MINIFS a MAXIFS vyžadují Excel 2019 nebo Microsoft 365; krokový výpočet funguje i ve starších verzích.</t>
  </si>
  <si>
    <t>Úkol 5. Určete 10% ořezaný průměr obou skupin: 10 % nejnižších a 10 % nejvyšších hodnot vynecháme a ze zbývajících spočítáme průměr. Porovnejte jej s běžným průměrem.</t>
  </si>
  <si>
    <t>Zdroj: inspirováno úlohou 2.51, Howell (2013), s. 62, která používá jiná data; zde data úloh 2.1 a 2.4. Česká adaptace.</t>
  </si>
  <si>
    <t>Počet vynechaných hodnot na každém konci</t>
  </si>
  <si>
    <t>Počet ponechaných hodnot</t>
  </si>
  <si>
    <t>Součet ponechaných hodnot</t>
  </si>
  <si>
    <t>10% ořezaný průměr</t>
  </si>
  <si>
    <t>Běžný průměr</t>
  </si>
  <si>
    <t>k = počet vynechaných hodnot na každém konci: 0,1 × n, zaokrouhleno dolů (pomocné označení jen pro tento list). Sčítáme hodnoty s pořadím k + 1 až n − k v seřazené řadě a dělíme jejich počtem n − 2k.</t>
  </si>
  <si>
    <t>Ponecháme? (1 = ano)</t>
  </si>
  <si>
    <t>Ponechaná: děti</t>
  </si>
  <si>
    <t>Ponechaná: dospělí</t>
  </si>
  <si>
    <t>2. 10 % z n = 0,1 × n</t>
  </si>
  <si>
    <t>= 0,1*R4</t>
  </si>
  <si>
    <t>3. Počet vynechaných na každém konci (zaokrouhleno dolů)</t>
  </si>
  <si>
    <t>= CELÁ.ČÁST(R5)</t>
  </si>
  <si>
    <t>4. Počet ponechaných hodnot = n − 2 × vynechané</t>
  </si>
  <si>
    <t>= R4-2*R6</t>
  </si>
  <si>
    <t>5. Součet ponechaných hodnot (pořadí 6 až 45)</t>
  </si>
  <si>
    <t>6. Ořezaný průměr = součet ponechaných / jejich počet</t>
  </si>
  <si>
    <t>= R8/R7</t>
  </si>
  <si>
    <t>7. Pro srovnání: běžný průměr = součet všech / n</t>
  </si>
  <si>
    <t>= SUMA(D4:D53)/R4</t>
  </si>
  <si>
    <t>8. Rozdíl: ořezaný − běžný průměr</t>
  </si>
  <si>
    <t>= R9-R10</t>
  </si>
  <si>
    <t>Kontrola: součet jedniček ve sloupci L = počet ponechaných</t>
  </si>
  <si>
    <t>Kontrola: TRIMMEAN (TRIMMEAN), druhý argument 0,2</t>
  </si>
  <si>
    <t>= TRIMMEAN(D4:D53;0,2)</t>
  </si>
  <si>
    <t>Úroveň ořezání se v učebnici vztahuje ke každému konci zvlášť: 10 % z 50 hodnot je 5, na každém konci tedy vynecháme pět hodnot (kdyby nevyšlo celé číslo, zaokrouhlíme dolů; CELÁ.ČÁST, anglicky INT). Protože jsou data seřazená, vynecháváme pořadí 1–5 a 46–50; sloupec L označuje jedničkou ponechané hodnoty s pořadím 6 až 45 a sloupce M a N je násobením jedničkou či nulou převezmou, nebo vynulují. Součet ponechaných hodnot vydělíme jejich počtem 40, nikoli 50. Děti: 741 / 40 = 18,53 oproti běžnému průměru 18,90; pokles způsobuje hlavně vynechání hodnot 31 a 40. Dospělí: 413 / 40 = 10,33 oproti 10,20; zde průměr mírně zvýšilo vynechání nízkých hodnot včetně 1, 3 a 4. Funkce TRIMMEAN má jako druhý argument celkový vynechaný podíl z obou konců dohromady, proto zadáváme 0,2, nikoli 0,1. Interpretace: ořezaný průměr odpovídá na jinou otázku než běžný průměr, popisuje střed dat bez krajních desetin. Pravidlo ořezání je třeba zvolit předem a uvést; vynechané hodnoty zůstávají v datech a nejsou tím označeny za chybné.</t>
  </si>
  <si>
    <t>Úkol 6: Převod dat na směrodatnou odchylku 1</t>
  </si>
  <si>
    <t>Osm hodnot bez udané jednotky (učebnicový početní příklad), v původním pořadí. Žádný údaj nechybí.</t>
  </si>
  <si>
    <t>Číslo</t>
  </si>
  <si>
    <t>Nová hodnota</t>
  </si>
  <si>
    <t>Výsledek</t>
  </si>
  <si>
    <t>Vzorec</t>
  </si>
  <si>
    <t>Úkol 6. Hodnoty v D4:D11 převeďte lineární transformací na nový soubor, jehož směrodatná odchylka je přesně 1. Využijte pravidla pro posun a násobení konstantou: které z nich mění směrodatnou odchylku? Nové hodnoty zapište do E4:E11 a po krocích ověřte jejich směrodatnou odchylku. Jak se při převodu změnil průměr?</t>
  </si>
  <si>
    <t>Zdroj: Howell (2013), s. 62, úloha 2.45; navazuje na úlohy 2.34–2.35 (s. 61). Česká adaptace.</t>
  </si>
  <si>
    <t>Průměr původních hodnot</t>
  </si>
  <si>
    <t>Směrodatná odchylka původních hodnot</t>
  </si>
  <si>
    <t>Násobitel b</t>
  </si>
  <si>
    <t>Průměr nových hodnot</t>
  </si>
  <si>
    <t>Směrodatná odchylka nových hodnot</t>
  </si>
  <si>
    <t>xᵢ = původní hodnota; yᵢ = nová hodnota; a = přičtená konstanta (posun); b = násobitel.</t>
  </si>
  <si>
    <t>Posun a směrodatnou odchylku nemění; násobení ji násobí absolutní hodnotou b.</t>
  </si>
  <si>
    <t>Odchylka</t>
  </si>
  <si>
    <t>Čtverec odchylky</t>
  </si>
  <si>
    <t>Čtverec odchylky nové hodnoty</t>
  </si>
  <si>
    <t>= POČET(D4:D11)</t>
  </si>
  <si>
    <t>2. Průměr = součet / n</t>
  </si>
  <si>
    <t>= SUMA(D4:D11)/R4</t>
  </si>
  <si>
    <t>3. Součet čtverců odchylek (sloupec M)</t>
  </si>
  <si>
    <t>= SUMA(M4:M11)</t>
  </si>
  <si>
    <t>4. Výběrový rozptyl = součet čtverců / (n − 1)</t>
  </si>
  <si>
    <t>= R6/(R4-1)</t>
  </si>
  <si>
    <t>5. Směrodatná odchylka s = odmocnina z rozptylu</t>
  </si>
  <si>
    <t>= ODMOCNINA(R7)</t>
  </si>
  <si>
    <t>Převod: každou hodnotu vynásobíme číslem b (sloupec N)</t>
  </si>
  <si>
    <t>6. Násobitel b = 1 / s</t>
  </si>
  <si>
    <t>= 1/R8</t>
  </si>
  <si>
    <t>7. Průměr nových hodnot = součet / n</t>
  </si>
  <si>
    <t>= SUMA(N4:N11)/R4</t>
  </si>
  <si>
    <t>8. Součet čtverců odchylek nových hodnot (sloupec O)</t>
  </si>
  <si>
    <t>= SUMA(O4:O11)</t>
  </si>
  <si>
    <t>9. Směrodatná odchylka nových hodnot</t>
  </si>
  <si>
    <t>= ODMOCNINA(R12/(R4-1))</t>
  </si>
  <si>
    <t>10. Ověření pravidla: průměr × b</t>
  </si>
  <si>
    <t>= R5*R10</t>
  </si>
  <si>
    <t>Kontrola: SMODCH.VÝBĚR.S (STDEV.S), původní hodnoty</t>
  </si>
  <si>
    <t>= SMODCH.VÝBĚR.S(D4:D11)</t>
  </si>
  <si>
    <t>Kontrola: SMODCH.VÝBĚR.S (STDEV.S), nové hodnoty</t>
  </si>
  <si>
    <t>= SMODCH.VÝBĚR.S(N4:N11)</t>
  </si>
  <si>
    <t>Kontrola: průměr nových hodnot = průměr × b</t>
  </si>
  <si>
    <t>= R14</t>
  </si>
  <si>
    <t>Nejprve po krocích spočítáme směrodatnou odchylku původních hodnot: průměr 6,875; odchylky od průměru (sloupec L); jejich čtverce (sloupec M) se součtem 30,875; rozptyl 30,875 / 7 ≐ 4,411 a jeho odmocninu s ≐ 2,100. Přičtení nebo odečtení konstanty směrodatnou odchylku nemění, protože rozdíly mezi hodnotami zůstávají stejné. Násobení konstantou b ji násobí absolutní hodnotou b. Aby nová směrodatná odchylka byla 1, vynásobíme každou hodnotu číslem b = 1 / s ≐ 0,4762, tedy ji vydělíme s (sloupec N). Ověření po krocích na nových hodnotách: jejich součet čtverců odchylek je přesně 7, takže rozptyl je 7 / 7 = 1 a směrodatná odchylka 1. Průměr se násobí stejně jako hodnoty: 6,875 × 0,4762 ≐ 3,274. Řešení není jediné: k novým hodnotám lze přičíst libovolnou konstantu a směrodatná odchylka zůstane 1. Odečteme-li navíc před dělením průměr, dostaneme hodnoty s průměrem 0 a směrodatnou odchylkou 1; k tomu se vrátíme u normálního rozdělení. Dolar v odkazu (například $R$10) drží při kopírování vzorce odkaz na stejnou buňku.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</si>
</sst>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67" formatCode="0.0000"/>
  </numFmts>
  <fonts count="6" x14ac:knownFonts="1">
    <font>
      <sz val="11"/>
      <color theme="1"/>
      <name val="Aptos Narrow"/>
      <family val="2"/>
      <charset val="238"/>
      <scheme val="minor"/>
    </font>
    <font>
      <b/>
      <sz val="14"/>
      <color rgb="FF142A3B"/>
      <name val="Aptos Narrow"/>
      <family val="2"/>
      <scheme val="minor"/>
    </font>
    <font>
      <sz val="11"/>
      <color rgb="FF576574"/>
      <name val="Aptos Narrow"/>
      <family val="2"/>
      <charset val="238"/>
      <scheme val="minor"/>
    </font>
    <font>
      <b/>
      <sz val="11"/>
      <color rgb="FFFFFFFF"/>
      <name val="Aptos Narrow"/>
      <family val="2"/>
      <scheme val="minor"/>
    </font>
    <font>
      <b/>
      <sz val="11"/>
      <color rgb="FF176A8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A3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76A83"/>
        <bgColor indexed="64"/>
      </patternFill>
    </fill>
    <fill>
      <patternFill patternType="solid">
        <fgColor rgb="FFEEF5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3" fillId="6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3" borderId="0" xfId="0" applyFill="1"/>
    <xf numFmtId="2" fontId="0" fillId="3" borderId="0" xfId="0" applyNumberFormat="1" applyFill="1"/>
    <xf numFmtId="0" fontId="0" fillId="7" borderId="0" xfId="0" applyFill="1"/>
    <xf numFmtId="0" fontId="4" fillId="0" borderId="0" xfId="0" applyFont="1"/>
    <xf numFmtId="0" fontId="0" fillId="4" borderId="0" xfId="0" applyFill="1" applyAlignment="1">
      <alignment vertical="top"/>
    </xf>
    <xf numFmtId="2" fontId="0" fillId="4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2" fontId="0" fillId="5" borderId="0" xfId="0" applyNumberFormat="1" applyFill="1" applyAlignment="1">
      <alignment vertical="top"/>
    </xf>
    <xf numFmtId="0" fontId="0" fillId="5" borderId="0" xfId="0" applyFill="1" applyAlignment="1">
      <alignment horizontal="center" vertical="top"/>
    </xf>
    <xf numFmtId="2" fontId="0" fillId="7" borderId="0" xfId="0" applyNumberFormat="1" applyFill="1"/>
    <xf numFmtId="164" fontId="0" fillId="3" borderId="0" xfId="0" applyNumberFormat="1" applyFill="1"/>
    <xf numFmtId="164" fontId="0" fillId="4" borderId="0" xfId="0" applyNumberFormat="1" applyFill="1" applyAlignment="1">
      <alignment vertical="top"/>
    </xf>
    <xf numFmtId="165" fontId="0" fillId="3" borderId="0" xfId="0" applyNumberFormat="1" applyFill="1"/>
    <xf numFmtId="165" fontId="0" fillId="4" borderId="0" xfId="0" applyNumberFormat="1" applyFill="1" applyAlignment="1">
      <alignment vertical="top"/>
    </xf>
    <xf numFmtId="166" fontId="0" fillId="4" borderId="0" xfId="0" applyNumberFormat="1" applyFill="1" applyAlignment="1">
      <alignment vertical="top"/>
    </xf>
    <xf numFmtId="167" fontId="0" fillId="3" borderId="0" xfId="0" applyNumberFormat="1" applyFill="1"/>
    <xf numFmtId="165" fontId="0" fillId="7" borderId="0" xfId="0" applyNumberFormat="1" applyFill="1"/>
    <xf numFmtId="167" fontId="0" fillId="4" borderId="0" xfId="0" applyNumberFormat="1" applyFill="1" applyAlignment="1">
      <alignment vertical="top"/>
    </xf>
    <xf numFmtId="165" fontId="0" fillId="5" borderId="0" xfId="0" applyNumberFormat="1" applyFill="1" applyAlignment="1">
      <alignment vertical="top"/>
    </xf>
    <xf numFmtId="0" fontId="0" fillId="0" borderId="0" xfId="0" applyAlignment="1">
      <alignment vertical="top" wrapText="1"/>
    </xf>
    <xf numFmtId="0" fontId="3" fillId="6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25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m = (1/n) × součet x_i pro i od 1 do n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limLoc m:val="undOvr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m = (1/n) × součet x_i pro i od 1 do n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m = (1/n) × součet x_i pro i od 1 do n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31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medián = (x_(n/2) + x_(n/2+1)) / 2 pro sudé n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acc>
                      <m:accPr>
                        <m:chr m:val="̃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/2)</m:t>
                            </m:r>
                          </m:sub>
                        </m:s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+ </m:t>
                        </m:r>
                        <m:sSub>
                          <m:sSub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/2+1)</m:t>
                            </m:r>
                          </m:sub>
                        </m:sSub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medián = (x_(n/2) + x_(n/2+1)) / 2 pro sudé n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medián = (x_(n/2) + x_(n/2+1)) / 2 pro sudé n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25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variační rozpětí = x_(n) − x_(1)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variační rozpětí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sub>
                    </m:sSub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 </m:t>
                    </m:r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(1)</m:t>
                        </m:r>
                      </m:sub>
                    </m:sSub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variační rozpětí = x_(n) − x_(1)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variační rozpětí = x_(n) − x_(1)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30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s^2 = (součet (x_i − m)^2 pro i od 1 do n) / (n − 1)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p>
                      <m:sSup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limLoc m:val="undOvr"/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cs-CZ" sz="1300" i="1">
                                        <a:solidFill>
                                          <a:srgbClr val="142A3B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cs-CZ" sz="1300" i="1">
                                        <a:solidFill>
                                          <a:srgbClr val="142A3B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 − </m:t>
                                    </m:r>
                                    <m:r>
                                      <a:rPr lang="cs-CZ" sz="1300" i="1">
                                        <a:solidFill>
                                          <a:srgbClr val="142A3B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𝑚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− 1</m:t>
                        </m:r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s^2 = (součet (x_i − m)^2 pro i od 1 do n) / (n − 1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s^2 = (součet (x_i − m)^2 pro i od 1 do n) / (n − 1)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36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s = odmocnina z s^2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ad>
                      <m:radPr>
                        <m:degHide m:val="on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s = odmocnina z s^2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s = odmocnina z s^2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25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s = odmocnina ze (součet (x_i − m)^2 pro i od 1 do n) / (n − 1)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ad>
                      <m:radPr>
                        <m:degHide m:val="on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limLoc m:val="undOvr"/>
                                <m:ctrlP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lang="cs-CZ" sz="1300" i="1">
                                        <a:solidFill>
                                          <a:srgbClr val="142A3B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cs-CZ" sz="1300" i="1">
                                                <a:solidFill>
                                                  <a:srgbClr val="142A3B"/>
                                                </a:solidFill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cs-CZ" sz="1300" i="1">
                                                <a:solidFill>
                                                  <a:srgbClr val="142A3B"/>
                                                </a:solidFill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𝑥</m:t>
                                            </m:r>
                                          </m:e>
                                          <m:sub>
                                            <m:r>
                                              <a:rPr lang="cs-CZ" sz="1300" i="1">
                                                <a:solidFill>
                                                  <a:srgbClr val="142A3B"/>
                                                </a:solidFill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  <m: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 − </m:t>
                                        </m:r>
                                        <m: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cs-CZ" sz="1300" i="1">
                                        <a:solidFill>
                                          <a:srgbClr val="142A3B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nary>
                          </m:num>
                          <m:den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s = odmocnina ze (součet (x_i − m)^2 pro i od 1 do n) / (n − 1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s = odmocnina ze (součet (x_i − m)^2 pro i od 1 do n) / (n − 1)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31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dolní mez = m − 2s; horní mez = m + 2s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dolní mez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− 2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horní mez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+ 2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dolní mez = m − 2s; horní mez = m + 2s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dolní mez = m − 2s; horní mez = m + 2s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37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podíl = počet hodnot v intervalu / n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podíl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počet hodnot v intervalu</m:t>
                        </m:r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podíl = počet hodnot v intervalu / n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podíl = počet hodnot v intervalu / n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25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pozice = 1 + (n − 1) × p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pozice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1 + 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− 1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pozice = 1 + (n − 1) × p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pozice = 1 + (n − 1) × p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30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q_p = x_(i) + (pozice − i) × (x_(i+1) − x_(i))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sub>
                    </m:sSub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+ </m:t>
                    </m:r>
                    <m:d>
                      <m:dPr>
                        <m:ctrl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nor/>
                          </m:rPr>
                          <a:rPr lang="cs-CZ" sz="1300" i="0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pozice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d>
                      <m:d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+1)</m:t>
                            </m:r>
                          </m:sub>
                        </m:s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q_p = x_(i) + (pozice − i) × (x_(i+1) − x_(i))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q_p = x_(i) + (pozice − i) × (x_(i+1) − x_(i))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35</xdr:row>
      <xdr:rowOff>25000</xdr:rowOff>
    </xdr:from>
    <xdr:ext cx="3560000" cy="86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mezikvartilové rozpětí = q_0,75 − q_0,25; dolní mez = q_0,25 − 1,5 × rozpětí; horní mez = q_0,75 + 1,5 × rozpětí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 txBox="1"/>
          </xdr:nvSpPr>
          <xdr:spPr>
            <a:xfrm>
              <a:off x="0" y="0"/>
              <a:ext cx="3560000" cy="8644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mezikvartilové rozpětí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0,75</m:t>
                        </m:r>
                      </m:sub>
                    </m:sSub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 </m:t>
                    </m:r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0,25</m:t>
                        </m:r>
                      </m:sub>
                    </m:sSub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dolní mez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0,25</m:t>
                        </m:r>
                      </m:sub>
                    </m:sSub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− 1,5 × </m:t>
                    </m:r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rozpětí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horní mez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0,75</m:t>
                        </m:r>
                      </m:sub>
                    </m:sSub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+ 1,5 × </m:t>
                    </m:r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rozpětí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mezikvartilové rozpětí = q_0,75 − q_0,25; dolní mez = q_0,25 − 1,5 × rozpětí; horní mez = q_0,75 + 1,5 × rozpětí"/>
            <xdr:cNvSpPr txBox="1"/>
          </xdr:nvSpPr>
          <xdr:spPr>
            <a:xfrm>
              <a:off x="0" y="0"/>
              <a:ext cx="3560000" cy="8644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mezikvartilové rozpětí = q_0,75 − q_0,25; dolní mez = q_0,25 − 1,5 × rozpětí; horní mez = q_0,75 + 1,5 × rozpětí</a:t>
              </a:r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25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ořezaný průměr = (1/(n − 2k)) × součet x_(i) pro i od k + 1 do n − k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ořezaný průměr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f>
                      <m:f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− 2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den>
                    </m:f>
                    <m:nary>
                      <m:naryPr>
                        <m:chr m:val="∑"/>
                        <m:limLoc m:val="undOvr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+1</m:t>
                        </m:r>
                      </m:sub>
                      <m:sup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sup>
                      <m:e>
                        <m:sSub>
                          <m:sSub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)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ořezaný průměr = (1/(n − 2k)) × součet x_(i) pro i od k + 1 do n − k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ořezaný průměr = (1/(n − 2k)) × součet x_(i) pro i od k + 1 do n − k</a:t>
              </a: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20000</xdr:colOff>
      <xdr:row>25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ovnice 1" descr="s = odmocnina ze (součet (x_i − m)^2 pro i od 1 do n) / (n − 1)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ad>
                      <m:radPr>
                        <m:degHide m:val="on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limLoc m:val="undOvr"/>
                                <m:ctrlP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cs-CZ" sz="1300" i="1">
                                    <a:solidFill>
                                      <a:srgbClr val="142A3B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lang="cs-CZ" sz="1300" i="1">
                                        <a:solidFill>
                                          <a:srgbClr val="142A3B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cs-CZ" sz="1300" i="1">
                                                <a:solidFill>
                                                  <a:srgbClr val="142A3B"/>
                                                </a:solidFill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cs-CZ" sz="1300" i="1">
                                                <a:solidFill>
                                                  <a:srgbClr val="142A3B"/>
                                                </a:solidFill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𝑥</m:t>
                                            </m:r>
                                          </m:e>
                                          <m:sub>
                                            <m:r>
                                              <a:rPr lang="cs-CZ" sz="1300" i="1">
                                                <a:solidFill>
                                                  <a:srgbClr val="142A3B"/>
                                                </a:solidFill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  <m: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 − </m:t>
                                        </m:r>
                                        <m:r>
                                          <a:rPr lang="cs-CZ" sz="1300" i="1">
                                            <a:solidFill>
                                              <a:srgbClr val="142A3B"/>
                                            </a:solidFill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cs-CZ" sz="1300" i="1">
                                        <a:solidFill>
                                          <a:srgbClr val="142A3B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nary>
                          </m:num>
                          <m:den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cs-CZ" sz="1300" i="1">
                                <a:solidFill>
                                  <a:srgbClr val="142A3B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Rovnice 1" descr="s = odmocnina ze (součet (x_i − m)^2 pro i od 1 do n) / (n − 1)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s = odmocnina ze (součet (x_i − m)^2 pro i od 1 do n) / (n − 1)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31</xdr:row>
      <xdr:rowOff>25000</xdr:rowOff>
    </xdr:from>
    <xdr:ext cx="3560000" cy="40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ovnice 2" descr="y_i = a + b × x_i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+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𝑏</m:t>
                    </m:r>
                    <m:sSub>
                      <m:sSubPr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Rovnice 2" descr="y_i = a + b × x_i"/>
            <xdr:cNvSpPr txBox="1"/>
          </xdr:nvSpPr>
          <xdr:spPr>
            <a:xfrm>
              <a:off x="0" y="0"/>
              <a:ext cx="3560000" cy="4072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y_i = a + b × x_i</a:t>
              </a:r>
            </a:p>
          </xdr:txBody>
        </xdr:sp>
      </mc:Fallback>
    </mc:AlternateContent>
    <xdr:clientData/>
  </xdr:oneCellAnchor>
  <xdr:oneCellAnchor>
    <xdr:from>
      <xdr:col>0</xdr:col>
      <xdr:colOff>20000</xdr:colOff>
      <xdr:row>36</xdr:row>
      <xdr:rowOff>25000</xdr:rowOff>
    </xdr:from>
    <xdr:ext cx="3560000" cy="63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Rovnice 3" descr="nový průměr = a + b × m; nová směrodatná odchylka = |b| × s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nový průměr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+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𝑏𝑚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m:rPr>
                        <m:nor/>
                      </m:rPr>
                      <a:rPr lang="cs-CZ" sz="1300" i="0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nová směrodatná odchylka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d>
                      <m:dPr>
                        <m:begChr m:val="|"/>
                        <m:endChr m:val="|"/>
                        <m:ctrlP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300" i="1">
                            <a:solidFill>
                              <a:srgbClr val="142A3B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e>
                    </m:d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r>
                      <a:rPr lang="cs-CZ" sz="1300" i="1">
                        <a:solidFill>
                          <a:srgbClr val="142A3B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</m:t>
                    </m:r>
                  </m:oMath>
                </m:oMathPara>
              </a14:m>
              <a:endParaRPr lang="cs-CZ" sz="1300">
                <a:solidFill>
                  <a:srgbClr val="142A3B"/>
                </a:solidFill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Rovnice 3" descr="nový průměr = a + b × m; nová směrodatná odchylka = |b| × s"/>
            <xdr:cNvSpPr txBox="1"/>
          </xdr:nvSpPr>
          <xdr:spPr>
            <a:xfrm>
              <a:off x="0" y="0"/>
              <a:ext cx="3560000" cy="635800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36000" tIns="0" rIns="0" bIns="0" rtlCol="0" anchor="ctr">
              <a:noAutofit/>
            </a:bodyPr>
            <a:lstStyle/>
            <a:p>
              <a:r>
                <a:rPr lang="cs-CZ" sz="1100"/>
                <a:t>nový průměr = a + b × m; nová směrodatná odchylka = |b| × s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EBD4-1B88-4931-9B7C-011465B81159}">
  <dimension ref="A1:C23"/>
  <sheetViews>
    <sheetView showGridLines="0" tabSelected="1" workbookViewId="0"/>
  </sheetViews>
  <sheetFormatPr defaultRowHeight="14.3" x14ac:dyDescent="0.25"/>
  <cols>
    <col min="1" max="1" width="22.625" customWidth="1"/>
    <col min="2" max="2" width="44.625" customWidth="1"/>
    <col min="3" max="3" width="70.625" customWidth="1"/>
  </cols>
  <sheetData>
    <row r="1" spans="1:3" ht="19.05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ht="31.95" customHeight="1" x14ac:dyDescent="0.25">
      <c r="A5" s="5" t="s">
        <v>5</v>
      </c>
      <c r="B5" s="5" t="s">
        <v>6</v>
      </c>
      <c r="C5" s="5" t="s">
        <v>7</v>
      </c>
    </row>
    <row r="6" spans="1:3" ht="31.95" customHeight="1" x14ac:dyDescent="0.25">
      <c r="A6" s="5" t="s">
        <v>8</v>
      </c>
      <c r="B6" s="5" t="s">
        <v>6</v>
      </c>
      <c r="C6" s="5" t="s">
        <v>9</v>
      </c>
    </row>
    <row r="7" spans="1:3" ht="31.95" customHeight="1" x14ac:dyDescent="0.25">
      <c r="A7" s="5" t="s">
        <v>10</v>
      </c>
      <c r="B7" s="5" t="s">
        <v>6</v>
      </c>
      <c r="C7" s="5" t="s">
        <v>11</v>
      </c>
    </row>
    <row r="8" spans="1:3" ht="31.95" customHeight="1" x14ac:dyDescent="0.25">
      <c r="A8" s="5" t="s">
        <v>12</v>
      </c>
      <c r="B8" s="5" t="s">
        <v>6</v>
      </c>
      <c r="C8" s="5" t="s">
        <v>13</v>
      </c>
    </row>
    <row r="9" spans="1:3" ht="31.95" customHeight="1" x14ac:dyDescent="0.25">
      <c r="A9" s="5" t="s">
        <v>14</v>
      </c>
      <c r="B9" s="5" t="s">
        <v>6</v>
      </c>
      <c r="C9" s="5" t="s">
        <v>15</v>
      </c>
    </row>
    <row r="10" spans="1:3" ht="31.95" customHeight="1" x14ac:dyDescent="0.25">
      <c r="A10" s="5" t="s">
        <v>16</v>
      </c>
      <c r="B10" s="5" t="s">
        <v>17</v>
      </c>
      <c r="C10" s="5" t="s">
        <v>18</v>
      </c>
    </row>
    <row r="12" spans="1:3" x14ac:dyDescent="0.25">
      <c r="A12" s="6" t="s">
        <v>19</v>
      </c>
    </row>
    <row r="13" spans="1:3" x14ac:dyDescent="0.25">
      <c r="A13" s="5" t="s">
        <v>20</v>
      </c>
      <c r="B13" s="32" t="s">
        <v>26</v>
      </c>
      <c r="C13" s="32"/>
    </row>
    <row r="14" spans="1:3" ht="34" customHeight="1" x14ac:dyDescent="0.25">
      <c r="A14" s="5" t="s">
        <v>21</v>
      </c>
      <c r="B14" s="32" t="s">
        <v>27</v>
      </c>
      <c r="C14" s="32"/>
    </row>
    <row r="15" spans="1:3" x14ac:dyDescent="0.25">
      <c r="A15" s="7" t="s">
        <v>22</v>
      </c>
      <c r="B15" s="32" t="s">
        <v>28</v>
      </c>
      <c r="C15" s="32"/>
    </row>
    <row r="16" spans="1:3" ht="34" customHeight="1" x14ac:dyDescent="0.25">
      <c r="A16" s="8" t="s">
        <v>23</v>
      </c>
      <c r="B16" s="32" t="s">
        <v>29</v>
      </c>
      <c r="C16" s="32"/>
    </row>
    <row r="17" spans="1:3" ht="34" customHeight="1" x14ac:dyDescent="0.25">
      <c r="A17" s="9" t="s">
        <v>24</v>
      </c>
      <c r="B17" s="32" t="s">
        <v>30</v>
      </c>
      <c r="C17" s="32"/>
    </row>
    <row r="18" spans="1:3" ht="34" customHeight="1" x14ac:dyDescent="0.25">
      <c r="A18" s="5" t="s">
        <v>25</v>
      </c>
      <c r="B18" s="32" t="s">
        <v>31</v>
      </c>
      <c r="C18" s="32"/>
    </row>
    <row r="20" spans="1:3" x14ac:dyDescent="0.25">
      <c r="A20" s="6" t="s">
        <v>32</v>
      </c>
    </row>
    <row r="21" spans="1:3" ht="34" customHeight="1" x14ac:dyDescent="0.25">
      <c r="A21" s="32" t="s">
        <v>33</v>
      </c>
      <c r="B21" s="32"/>
      <c r="C21" s="32"/>
    </row>
    <row r="22" spans="1:3" ht="34" customHeight="1" x14ac:dyDescent="0.25">
      <c r="A22" s="32" t="s">
        <v>34</v>
      </c>
      <c r="B22" s="32"/>
      <c r="C22" s="32"/>
    </row>
    <row r="23" spans="1:3" ht="34" customHeight="1" x14ac:dyDescent="0.25">
      <c r="A23" s="32" t="s">
        <v>35</v>
      </c>
      <c r="B23" s="32"/>
      <c r="C23" s="32"/>
    </row>
  </sheetData>
  <mergeCells count="9">
    <mergeCell ref="A21:C21"/>
    <mergeCell ref="A22:C22"/>
    <mergeCell ref="A23:C23"/>
    <mergeCell ref="B13:C13"/>
    <mergeCell ref="B14:C14"/>
    <mergeCell ref="B15:C15"/>
    <mergeCell ref="B16:C16"/>
    <mergeCell ref="B17:C17"/>
    <mergeCell ref="B18:C1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A9FB-51C6-4467-90D1-028B445716EB}">
  <dimension ref="A1:U53"/>
  <sheetViews>
    <sheetView workbookViewId="0">
      <pane ySplit="3" topLeftCell="A4" activePane="bottomLeft" state="frozenSplit"/>
      <selection pane="bottomLeft"/>
    </sheetView>
  </sheetViews>
  <sheetFormatPr defaultRowHeight="14.3" x14ac:dyDescent="0.25"/>
  <cols>
    <col min="1" max="1" width="54.625" customWidth="1"/>
    <col min="2" max="2" width="2.625" customWidth="1"/>
    <col min="3" max="3" width="8.625" customWidth="1"/>
    <col min="4" max="5" width="9.625" customWidth="1"/>
    <col min="6" max="6" width="2.625" customWidth="1"/>
    <col min="7" max="7" width="40.625" customWidth="1"/>
    <col min="8" max="9" width="11.625" customWidth="1"/>
    <col min="10" max="10" width="2.625" customWidth="1"/>
    <col min="11" max="11" width="9.625" customWidth="1"/>
    <col min="12" max="15" width="13.625" customWidth="1"/>
    <col min="16" max="16" width="2.625" customWidth="1"/>
    <col min="17" max="17" width="60.625" customWidth="1"/>
    <col min="18" max="19" width="12.625" customWidth="1"/>
    <col min="20" max="20" width="50.625" customWidth="1"/>
    <col min="21" max="21" width="13.625" customWidth="1"/>
  </cols>
  <sheetData>
    <row r="1" spans="1:21" ht="19.05" x14ac:dyDescent="0.25">
      <c r="A1" s="1" t="s">
        <v>36</v>
      </c>
    </row>
    <row r="2" spans="1:21" x14ac:dyDescent="0.25">
      <c r="A2" s="2" t="s">
        <v>37</v>
      </c>
    </row>
    <row r="3" spans="1:21" ht="31.95" customHeight="1" x14ac:dyDescent="0.25">
      <c r="A3" s="3" t="s">
        <v>38</v>
      </c>
      <c r="C3" s="3" t="s">
        <v>39</v>
      </c>
      <c r="D3" s="3" t="s">
        <v>40</v>
      </c>
      <c r="E3" s="3" t="s">
        <v>41</v>
      </c>
      <c r="G3" s="3" t="s">
        <v>42</v>
      </c>
      <c r="H3" s="3" t="s">
        <v>40</v>
      </c>
      <c r="I3" s="3" t="s">
        <v>41</v>
      </c>
      <c r="K3" s="10" t="s">
        <v>58</v>
      </c>
      <c r="L3" s="10" t="s">
        <v>59</v>
      </c>
      <c r="M3" s="10" t="s">
        <v>60</v>
      </c>
      <c r="N3" s="10" t="s">
        <v>61</v>
      </c>
      <c r="O3" s="10" t="s">
        <v>62</v>
      </c>
      <c r="Q3" s="10" t="s">
        <v>43</v>
      </c>
      <c r="R3" s="10" t="s">
        <v>40</v>
      </c>
      <c r="S3" s="10" t="s">
        <v>41</v>
      </c>
      <c r="T3" s="10" t="s">
        <v>44</v>
      </c>
      <c r="U3" s="10" t="s">
        <v>45</v>
      </c>
    </row>
    <row r="4" spans="1:21" ht="18" customHeight="1" x14ac:dyDescent="0.25">
      <c r="A4" s="32" t="s">
        <v>46</v>
      </c>
      <c r="C4" s="11">
        <v>1</v>
      </c>
      <c r="D4">
        <v>10</v>
      </c>
      <c r="E4">
        <v>1</v>
      </c>
      <c r="G4" s="4" t="s">
        <v>50</v>
      </c>
      <c r="H4" s="13"/>
      <c r="I4" s="13"/>
      <c r="K4" s="15">
        <f>1</f>
        <v>1</v>
      </c>
      <c r="L4" s="15">
        <f t="shared" ref="L4:L43" si="0">COUNTIFS($D$4:$D$53,K4)</f>
        <v>0</v>
      </c>
      <c r="M4" s="15">
        <f t="shared" ref="M4:M43" si="1">COUNTIFS($E$4:$E$53,K4)</f>
        <v>1</v>
      </c>
      <c r="N4" s="15" t="str">
        <f t="shared" ref="N4:N43" si="2">IF(L4=$R$15,K4,"")</f>
        <v/>
      </c>
      <c r="O4" s="15" t="str">
        <f t="shared" ref="O4:O43" si="3">IF(M4=$S$15,K4,"")</f>
        <v/>
      </c>
      <c r="Q4" s="16" t="s">
        <v>52</v>
      </c>
    </row>
    <row r="5" spans="1:21" ht="18" customHeight="1" x14ac:dyDescent="0.25">
      <c r="A5" s="32"/>
      <c r="C5" s="11">
        <v>2</v>
      </c>
      <c r="D5">
        <v>11</v>
      </c>
      <c r="E5">
        <v>3</v>
      </c>
      <c r="G5" s="4" t="s">
        <v>51</v>
      </c>
      <c r="H5" s="13"/>
      <c r="I5" s="13"/>
      <c r="K5" s="15">
        <f>2</f>
        <v>2</v>
      </c>
      <c r="L5" s="15">
        <f t="shared" si="0"/>
        <v>0</v>
      </c>
      <c r="M5" s="15">
        <f t="shared" si="1"/>
        <v>0</v>
      </c>
      <c r="N5" s="15" t="str">
        <f t="shared" si="2"/>
        <v/>
      </c>
      <c r="O5" s="15" t="str">
        <f t="shared" si="3"/>
        <v/>
      </c>
      <c r="Q5" s="5" t="s">
        <v>63</v>
      </c>
      <c r="R5" s="17">
        <f>COUNT($D$4:$D$53)</f>
        <v>50</v>
      </c>
      <c r="S5" s="17">
        <f>COUNT($E$4:$E$53)</f>
        <v>50</v>
      </c>
      <c r="T5" s="5" t="s">
        <v>64</v>
      </c>
    </row>
    <row r="6" spans="1:21" ht="18" customHeight="1" x14ac:dyDescent="0.25">
      <c r="A6" s="32"/>
      <c r="C6" s="11">
        <v>3</v>
      </c>
      <c r="D6">
        <v>12</v>
      </c>
      <c r="E6">
        <v>4</v>
      </c>
      <c r="G6" s="4" t="s">
        <v>52</v>
      </c>
      <c r="H6" s="14"/>
      <c r="I6" s="14"/>
      <c r="K6" s="15">
        <f>3</f>
        <v>3</v>
      </c>
      <c r="L6" s="15">
        <f t="shared" si="0"/>
        <v>0</v>
      </c>
      <c r="M6" s="15">
        <f t="shared" si="1"/>
        <v>1</v>
      </c>
      <c r="N6" s="15" t="str">
        <f t="shared" si="2"/>
        <v/>
      </c>
      <c r="O6" s="15" t="str">
        <f t="shared" si="3"/>
        <v/>
      </c>
      <c r="Q6" s="5" t="s">
        <v>65</v>
      </c>
      <c r="R6" s="17">
        <f>SUM($D$4:$D$53)</f>
        <v>945</v>
      </c>
      <c r="S6" s="17">
        <f>SUM($E$4:$E$53)</f>
        <v>510</v>
      </c>
      <c r="T6" s="5" t="s">
        <v>66</v>
      </c>
    </row>
    <row r="7" spans="1:21" ht="18" customHeight="1" x14ac:dyDescent="0.25">
      <c r="A7" s="32"/>
      <c r="C7" s="11">
        <v>4</v>
      </c>
      <c r="D7">
        <v>15</v>
      </c>
      <c r="E7">
        <v>5</v>
      </c>
      <c r="G7" s="4" t="s">
        <v>53</v>
      </c>
      <c r="H7" s="14"/>
      <c r="I7" s="14"/>
      <c r="K7" s="15">
        <f>4</f>
        <v>4</v>
      </c>
      <c r="L7" s="15">
        <f t="shared" si="0"/>
        <v>0</v>
      </c>
      <c r="M7" s="15">
        <f t="shared" si="1"/>
        <v>1</v>
      </c>
      <c r="N7" s="15" t="str">
        <f t="shared" si="2"/>
        <v/>
      </c>
      <c r="O7" s="15" t="str">
        <f t="shared" si="3"/>
        <v/>
      </c>
      <c r="Q7" s="5" t="s">
        <v>67</v>
      </c>
      <c r="R7" s="18">
        <f>$R$6/$R$5</f>
        <v>18.899999999999999</v>
      </c>
      <c r="S7" s="18">
        <f>$S$6/$S$5</f>
        <v>10.199999999999999</v>
      </c>
      <c r="T7" s="5" t="s">
        <v>68</v>
      </c>
    </row>
    <row r="8" spans="1:21" ht="18" customHeight="1" x14ac:dyDescent="0.25">
      <c r="A8" s="32"/>
      <c r="C8" s="11">
        <v>5</v>
      </c>
      <c r="D8">
        <v>15</v>
      </c>
      <c r="E8">
        <v>5</v>
      </c>
      <c r="G8" s="4" t="s">
        <v>54</v>
      </c>
      <c r="H8" s="13"/>
      <c r="I8" s="13"/>
      <c r="K8" s="15">
        <f>5</f>
        <v>5</v>
      </c>
      <c r="L8" s="15">
        <f t="shared" si="0"/>
        <v>0</v>
      </c>
      <c r="M8" s="15">
        <f t="shared" si="1"/>
        <v>2</v>
      </c>
      <c r="N8" s="15" t="str">
        <f t="shared" si="2"/>
        <v/>
      </c>
      <c r="O8" s="15" t="str">
        <f t="shared" si="3"/>
        <v/>
      </c>
      <c r="Q8" s="16" t="s">
        <v>69</v>
      </c>
    </row>
    <row r="9" spans="1:21" ht="18" customHeight="1" x14ac:dyDescent="0.25">
      <c r="A9" s="32"/>
      <c r="C9" s="11">
        <v>6</v>
      </c>
      <c r="D9">
        <v>15</v>
      </c>
      <c r="E9">
        <v>7</v>
      </c>
      <c r="K9" s="15">
        <f>6</f>
        <v>6</v>
      </c>
      <c r="L9" s="15">
        <f t="shared" si="0"/>
        <v>0</v>
      </c>
      <c r="M9" s="15">
        <f t="shared" si="1"/>
        <v>0</v>
      </c>
      <c r="N9" s="15" t="str">
        <f t="shared" si="2"/>
        <v/>
      </c>
      <c r="O9" s="15" t="str">
        <f t="shared" si="3"/>
        <v/>
      </c>
      <c r="Q9" s="5" t="s">
        <v>70</v>
      </c>
      <c r="R9" s="17">
        <f>$R$5/2</f>
        <v>25</v>
      </c>
      <c r="S9" s="17">
        <f>$S$5/2</f>
        <v>25</v>
      </c>
      <c r="T9" s="5" t="s">
        <v>71</v>
      </c>
    </row>
    <row r="10" spans="1:21" ht="18" customHeight="1" x14ac:dyDescent="0.25">
      <c r="C10" s="11">
        <v>7</v>
      </c>
      <c r="D10">
        <v>16</v>
      </c>
      <c r="E10">
        <v>7</v>
      </c>
      <c r="K10" s="15">
        <f>7</f>
        <v>7</v>
      </c>
      <c r="L10" s="15">
        <f t="shared" si="0"/>
        <v>0</v>
      </c>
      <c r="M10" s="15">
        <f t="shared" si="1"/>
        <v>4</v>
      </c>
      <c r="N10" s="15" t="str">
        <f t="shared" si="2"/>
        <v/>
      </c>
      <c r="O10" s="15" t="str">
        <f t="shared" si="3"/>
        <v/>
      </c>
      <c r="Q10" s="5" t="s">
        <v>72</v>
      </c>
      <c r="R10" s="17">
        <f>$R$5/2+1</f>
        <v>26</v>
      </c>
      <c r="S10" s="17">
        <f>$S$5/2+1</f>
        <v>26</v>
      </c>
      <c r="T10" s="5" t="s">
        <v>73</v>
      </c>
    </row>
    <row r="11" spans="1:21" ht="18" customHeight="1" x14ac:dyDescent="0.25">
      <c r="A11" s="32" t="s">
        <v>47</v>
      </c>
      <c r="C11" s="11">
        <v>8</v>
      </c>
      <c r="D11">
        <v>16</v>
      </c>
      <c r="E11">
        <v>7</v>
      </c>
      <c r="K11" s="15">
        <f>8</f>
        <v>8</v>
      </c>
      <c r="L11" s="15">
        <f t="shared" si="0"/>
        <v>0</v>
      </c>
      <c r="M11" s="15">
        <f t="shared" si="1"/>
        <v>4</v>
      </c>
      <c r="N11" s="15" t="str">
        <f t="shared" si="2"/>
        <v/>
      </c>
      <c r="O11" s="15" t="str">
        <f t="shared" si="3"/>
        <v/>
      </c>
      <c r="Q11" s="5" t="s">
        <v>74</v>
      </c>
      <c r="R11" s="17">
        <f>D28</f>
        <v>18</v>
      </c>
      <c r="S11" s="17">
        <f>E28</f>
        <v>10</v>
      </c>
      <c r="T11" s="5" t="s">
        <v>75</v>
      </c>
    </row>
    <row r="12" spans="1:21" ht="18" customHeight="1" x14ac:dyDescent="0.25">
      <c r="A12" s="32"/>
      <c r="C12" s="11">
        <v>9</v>
      </c>
      <c r="D12">
        <v>16</v>
      </c>
      <c r="E12">
        <v>7</v>
      </c>
      <c r="K12" s="15">
        <f>9</f>
        <v>9</v>
      </c>
      <c r="L12" s="15">
        <f t="shared" si="0"/>
        <v>0</v>
      </c>
      <c r="M12" s="15">
        <f t="shared" si="1"/>
        <v>7</v>
      </c>
      <c r="N12" s="15" t="str">
        <f t="shared" si="2"/>
        <v/>
      </c>
      <c r="O12" s="15" t="str">
        <f t="shared" si="3"/>
        <v/>
      </c>
      <c r="Q12" s="5" t="s">
        <v>76</v>
      </c>
      <c r="R12" s="17">
        <f>D29</f>
        <v>18</v>
      </c>
      <c r="S12" s="17">
        <f>E29</f>
        <v>10</v>
      </c>
      <c r="T12" s="5" t="s">
        <v>77</v>
      </c>
    </row>
    <row r="13" spans="1:21" ht="18" customHeight="1" x14ac:dyDescent="0.25">
      <c r="A13" s="32"/>
      <c r="C13" s="11">
        <v>10</v>
      </c>
      <c r="D13">
        <v>16</v>
      </c>
      <c r="E13">
        <v>8</v>
      </c>
      <c r="K13" s="15">
        <f>10</f>
        <v>10</v>
      </c>
      <c r="L13" s="15">
        <f t="shared" si="0"/>
        <v>1</v>
      </c>
      <c r="M13" s="15">
        <f t="shared" si="1"/>
        <v>8</v>
      </c>
      <c r="N13" s="15" t="str">
        <f t="shared" si="2"/>
        <v/>
      </c>
      <c r="O13" s="15">
        <f t="shared" si="3"/>
        <v>10</v>
      </c>
      <c r="Q13" s="5" t="s">
        <v>78</v>
      </c>
      <c r="R13" s="18">
        <f>($R$11+$R$12)/2</f>
        <v>18</v>
      </c>
      <c r="S13" s="18">
        <f>($S$11+$S$12)/2</f>
        <v>10</v>
      </c>
      <c r="T13" s="5" t="s">
        <v>79</v>
      </c>
    </row>
    <row r="14" spans="1:21" ht="18" customHeight="1" x14ac:dyDescent="0.25">
      <c r="A14" s="32"/>
      <c r="C14" s="11">
        <v>11</v>
      </c>
      <c r="D14">
        <v>17</v>
      </c>
      <c r="E14">
        <v>8</v>
      </c>
      <c r="K14" s="15">
        <f>11</f>
        <v>11</v>
      </c>
      <c r="L14" s="15">
        <f t="shared" si="0"/>
        <v>1</v>
      </c>
      <c r="M14" s="15">
        <f t="shared" si="1"/>
        <v>6</v>
      </c>
      <c r="N14" s="15" t="str">
        <f t="shared" si="2"/>
        <v/>
      </c>
      <c r="O14" s="15" t="str">
        <f t="shared" si="3"/>
        <v/>
      </c>
      <c r="Q14" s="16" t="s">
        <v>80</v>
      </c>
    </row>
    <row r="15" spans="1:21" ht="18" customHeight="1" x14ac:dyDescent="0.25">
      <c r="C15" s="11">
        <v>12</v>
      </c>
      <c r="D15">
        <v>17</v>
      </c>
      <c r="E15">
        <v>8</v>
      </c>
      <c r="K15" s="15">
        <f>12</f>
        <v>12</v>
      </c>
      <c r="L15" s="15">
        <f t="shared" si="0"/>
        <v>1</v>
      </c>
      <c r="M15" s="15">
        <f t="shared" si="1"/>
        <v>5</v>
      </c>
      <c r="N15" s="15" t="str">
        <f t="shared" si="2"/>
        <v/>
      </c>
      <c r="O15" s="15" t="str">
        <f t="shared" si="3"/>
        <v/>
      </c>
      <c r="Q15" s="5" t="s">
        <v>81</v>
      </c>
      <c r="R15" s="17">
        <f>MAX($L$4:$L$43)</f>
        <v>10</v>
      </c>
      <c r="S15" s="17">
        <f>MAX($M$4:$M$43)</f>
        <v>8</v>
      </c>
      <c r="T15" s="5" t="s">
        <v>82</v>
      </c>
    </row>
    <row r="16" spans="1:21" ht="18" customHeight="1" x14ac:dyDescent="0.25">
      <c r="A16" s="34" t="s">
        <v>48</v>
      </c>
      <c r="C16" s="11">
        <v>13</v>
      </c>
      <c r="D16">
        <v>17</v>
      </c>
      <c r="E16">
        <v>8</v>
      </c>
      <c r="K16" s="15">
        <f>13</f>
        <v>13</v>
      </c>
      <c r="L16" s="15">
        <f t="shared" si="0"/>
        <v>0</v>
      </c>
      <c r="M16" s="15">
        <f t="shared" si="1"/>
        <v>1</v>
      </c>
      <c r="N16" s="15" t="str">
        <f t="shared" si="2"/>
        <v/>
      </c>
      <c r="O16" s="15" t="str">
        <f t="shared" si="3"/>
        <v/>
      </c>
      <c r="Q16" s="5" t="s">
        <v>83</v>
      </c>
      <c r="R16" s="17">
        <f>MAX($N$4:$N$43)</f>
        <v>18</v>
      </c>
      <c r="S16" s="17">
        <f>MAX($O$4:$O$43)</f>
        <v>10</v>
      </c>
      <c r="T16" s="5" t="s">
        <v>84</v>
      </c>
    </row>
    <row r="17" spans="1:21" ht="18" customHeight="1" x14ac:dyDescent="0.25">
      <c r="A17" s="32"/>
      <c r="C17" s="11">
        <v>14</v>
      </c>
      <c r="D17">
        <v>17</v>
      </c>
      <c r="E17">
        <v>9</v>
      </c>
      <c r="K17" s="15">
        <f>14</f>
        <v>14</v>
      </c>
      <c r="L17" s="15">
        <f t="shared" si="0"/>
        <v>0</v>
      </c>
      <c r="M17" s="15">
        <f t="shared" si="1"/>
        <v>4</v>
      </c>
      <c r="N17" s="15" t="str">
        <f t="shared" si="2"/>
        <v/>
      </c>
      <c r="O17" s="15" t="str">
        <f t="shared" si="3"/>
        <v/>
      </c>
      <c r="Q17" s="16" t="s">
        <v>85</v>
      </c>
    </row>
    <row r="18" spans="1:21" ht="18" customHeight="1" x14ac:dyDescent="0.25">
      <c r="A18" s="32"/>
      <c r="C18" s="11">
        <v>15</v>
      </c>
      <c r="D18">
        <v>17</v>
      </c>
      <c r="E18">
        <v>9</v>
      </c>
      <c r="K18" s="15">
        <f>15</f>
        <v>15</v>
      </c>
      <c r="L18" s="15">
        <f t="shared" si="0"/>
        <v>3</v>
      </c>
      <c r="M18" s="15">
        <f t="shared" si="1"/>
        <v>3</v>
      </c>
      <c r="N18" s="15" t="str">
        <f t="shared" si="2"/>
        <v/>
      </c>
      <c r="O18" s="15" t="str">
        <f t="shared" si="3"/>
        <v/>
      </c>
      <c r="Q18" s="5" t="s">
        <v>86</v>
      </c>
      <c r="R18" s="20">
        <f>AVERAGE($D$4:$D$53)</f>
        <v>18.899999999999999</v>
      </c>
      <c r="S18" s="20">
        <f>AVERAGE($E$4:$E$53)</f>
        <v>10.199999999999999</v>
      </c>
      <c r="T18" s="5" t="s">
        <v>87</v>
      </c>
      <c r="U18" s="21" t="str">
        <f>IF(AND(ABS(R18-$R$7)&lt;0.000001,ABS(S18-$S$7)&lt;0.000001),"ano","ne")</f>
        <v>ano</v>
      </c>
    </row>
    <row r="19" spans="1:21" ht="18" customHeight="1" x14ac:dyDescent="0.25">
      <c r="C19" s="11">
        <v>16</v>
      </c>
      <c r="D19">
        <v>17</v>
      </c>
      <c r="E19">
        <v>9</v>
      </c>
      <c r="K19" s="15">
        <f>16</f>
        <v>16</v>
      </c>
      <c r="L19" s="15">
        <f t="shared" si="0"/>
        <v>4</v>
      </c>
      <c r="M19" s="15">
        <f t="shared" si="1"/>
        <v>2</v>
      </c>
      <c r="N19" s="15" t="str">
        <f t="shared" si="2"/>
        <v/>
      </c>
      <c r="O19" s="15" t="str">
        <f t="shared" si="3"/>
        <v/>
      </c>
      <c r="Q19" s="5" t="s">
        <v>88</v>
      </c>
      <c r="R19" s="20">
        <f>MEDIAN($D$4:$D$53)</f>
        <v>18</v>
      </c>
      <c r="S19" s="20">
        <f>MEDIAN($E$4:$E$53)</f>
        <v>10</v>
      </c>
      <c r="T19" s="5" t="s">
        <v>89</v>
      </c>
      <c r="U19" s="21" t="str">
        <f>IF(AND(ABS(R19-$R$13)&lt;0.000001,ABS(S19-$S$13)&lt;0.000001),"ano","ne")</f>
        <v>ano</v>
      </c>
    </row>
    <row r="20" spans="1:21" ht="18" customHeight="1" x14ac:dyDescent="0.25">
      <c r="A20" s="35" t="s">
        <v>49</v>
      </c>
      <c r="C20" s="11">
        <v>17</v>
      </c>
      <c r="D20">
        <v>18</v>
      </c>
      <c r="E20">
        <v>9</v>
      </c>
      <c r="K20" s="15">
        <f>17</f>
        <v>17</v>
      </c>
      <c r="L20" s="15">
        <f t="shared" si="0"/>
        <v>6</v>
      </c>
      <c r="M20" s="15">
        <f t="shared" si="1"/>
        <v>1</v>
      </c>
      <c r="N20" s="15" t="str">
        <f t="shared" si="2"/>
        <v/>
      </c>
      <c r="O20" s="15" t="str">
        <f t="shared" si="3"/>
        <v/>
      </c>
      <c r="Q20" s="5" t="s">
        <v>90</v>
      </c>
      <c r="R20" s="19">
        <f>_xlfn.MODE.SNGL($D$4:$D$53)</f>
        <v>18</v>
      </c>
      <c r="S20" s="19">
        <f>_xlfn.MODE.SNGL($E$4:$E$53)</f>
        <v>10</v>
      </c>
      <c r="T20" s="5" t="s">
        <v>91</v>
      </c>
      <c r="U20" s="21" t="str">
        <f>IF(AND(ABS(R20-$R$16)&lt;0.000001,ABS(S20-$S$16)&lt;0.000001),"ano","ne")</f>
        <v>ano</v>
      </c>
    </row>
    <row r="21" spans="1:21" ht="18" customHeight="1" x14ac:dyDescent="0.25">
      <c r="A21" s="32"/>
      <c r="C21" s="11">
        <v>18</v>
      </c>
      <c r="D21">
        <v>18</v>
      </c>
      <c r="E21">
        <v>9</v>
      </c>
      <c r="K21" s="15">
        <f>18</f>
        <v>18</v>
      </c>
      <c r="L21" s="15">
        <f t="shared" si="0"/>
        <v>10</v>
      </c>
      <c r="M21" s="15">
        <f t="shared" si="1"/>
        <v>0</v>
      </c>
      <c r="N21" s="15">
        <f t="shared" si="2"/>
        <v>18</v>
      </c>
      <c r="O21" s="15" t="str">
        <f t="shared" si="3"/>
        <v/>
      </c>
    </row>
    <row r="22" spans="1:21" ht="18" customHeight="1" x14ac:dyDescent="0.25">
      <c r="C22" s="11">
        <v>19</v>
      </c>
      <c r="D22">
        <v>18</v>
      </c>
      <c r="E22">
        <v>9</v>
      </c>
      <c r="K22" s="15">
        <f>19</f>
        <v>19</v>
      </c>
      <c r="L22" s="15">
        <f t="shared" si="0"/>
        <v>7</v>
      </c>
      <c r="M22" s="15">
        <f t="shared" si="1"/>
        <v>0</v>
      </c>
      <c r="N22" s="15" t="str">
        <f t="shared" si="2"/>
        <v/>
      </c>
      <c r="O22" s="15" t="str">
        <f t="shared" si="3"/>
        <v/>
      </c>
      <c r="Q22" s="33" t="s">
        <v>92</v>
      </c>
      <c r="R22" s="33"/>
      <c r="S22" s="33"/>
      <c r="T22" s="33"/>
    </row>
    <row r="23" spans="1:21" ht="18" customHeight="1" x14ac:dyDescent="0.25">
      <c r="C23" s="11">
        <v>20</v>
      </c>
      <c r="D23">
        <v>18</v>
      </c>
      <c r="E23">
        <v>9</v>
      </c>
      <c r="K23" s="15">
        <f>20</f>
        <v>20</v>
      </c>
      <c r="L23" s="15">
        <f t="shared" si="0"/>
        <v>7</v>
      </c>
      <c r="M23" s="15">
        <f t="shared" si="1"/>
        <v>0</v>
      </c>
      <c r="N23" s="15" t="str">
        <f t="shared" si="2"/>
        <v/>
      </c>
      <c r="O23" s="15" t="str">
        <f t="shared" si="3"/>
        <v/>
      </c>
      <c r="Q23" s="32" t="s">
        <v>93</v>
      </c>
      <c r="R23" s="32"/>
      <c r="S23" s="32"/>
      <c r="T23" s="32"/>
    </row>
    <row r="24" spans="1:21" ht="18" customHeight="1" x14ac:dyDescent="0.25">
      <c r="C24" s="11">
        <v>21</v>
      </c>
      <c r="D24">
        <v>18</v>
      </c>
      <c r="E24">
        <v>10</v>
      </c>
      <c r="K24" s="15">
        <f>21</f>
        <v>21</v>
      </c>
      <c r="L24" s="15">
        <f t="shared" si="0"/>
        <v>3</v>
      </c>
      <c r="M24" s="15">
        <f t="shared" si="1"/>
        <v>0</v>
      </c>
      <c r="N24" s="15" t="str">
        <f t="shared" si="2"/>
        <v/>
      </c>
      <c r="O24" s="15" t="str">
        <f t="shared" si="3"/>
        <v/>
      </c>
      <c r="Q24" s="32"/>
      <c r="R24" s="32"/>
      <c r="S24" s="32"/>
      <c r="T24" s="32"/>
    </row>
    <row r="25" spans="1:21" ht="18" customHeight="1" x14ac:dyDescent="0.25">
      <c r="A25" s="10" t="s">
        <v>55</v>
      </c>
      <c r="C25" s="11">
        <v>22</v>
      </c>
      <c r="D25">
        <v>18</v>
      </c>
      <c r="E25">
        <v>10</v>
      </c>
      <c r="K25" s="15">
        <f>22</f>
        <v>22</v>
      </c>
      <c r="L25" s="15">
        <f t="shared" si="0"/>
        <v>2</v>
      </c>
      <c r="M25" s="15">
        <f t="shared" si="1"/>
        <v>0</v>
      </c>
      <c r="N25" s="15" t="str">
        <f t="shared" si="2"/>
        <v/>
      </c>
      <c r="O25" s="15" t="str">
        <f t="shared" si="3"/>
        <v/>
      </c>
      <c r="Q25" s="32"/>
      <c r="R25" s="32"/>
      <c r="S25" s="32"/>
      <c r="T25" s="32"/>
    </row>
    <row r="26" spans="1:21" ht="18" customHeight="1" x14ac:dyDescent="0.25">
      <c r="C26" s="11">
        <v>23</v>
      </c>
      <c r="D26">
        <v>18</v>
      </c>
      <c r="E26">
        <v>10</v>
      </c>
      <c r="K26" s="15">
        <f>23</f>
        <v>23</v>
      </c>
      <c r="L26" s="15">
        <f t="shared" si="0"/>
        <v>2</v>
      </c>
      <c r="M26" s="15">
        <f t="shared" si="1"/>
        <v>0</v>
      </c>
      <c r="N26" s="15" t="str">
        <f t="shared" si="2"/>
        <v/>
      </c>
      <c r="O26" s="15" t="str">
        <f t="shared" si="3"/>
        <v/>
      </c>
      <c r="Q26" s="32"/>
      <c r="R26" s="32"/>
      <c r="S26" s="32"/>
      <c r="T26" s="32"/>
    </row>
    <row r="27" spans="1:21" ht="18" customHeight="1" x14ac:dyDescent="0.25">
      <c r="C27" s="11">
        <v>24</v>
      </c>
      <c r="D27">
        <v>18</v>
      </c>
      <c r="E27">
        <v>10</v>
      </c>
      <c r="K27" s="15">
        <f>24</f>
        <v>24</v>
      </c>
      <c r="L27" s="15">
        <f t="shared" si="0"/>
        <v>1</v>
      </c>
      <c r="M27" s="15">
        <f t="shared" si="1"/>
        <v>0</v>
      </c>
      <c r="N27" s="15" t="str">
        <f t="shared" si="2"/>
        <v/>
      </c>
      <c r="O27" s="15" t="str">
        <f t="shared" si="3"/>
        <v/>
      </c>
      <c r="Q27" s="32"/>
      <c r="R27" s="32"/>
      <c r="S27" s="32"/>
      <c r="T27" s="32"/>
    </row>
    <row r="28" spans="1:21" ht="18" customHeight="1" x14ac:dyDescent="0.25">
      <c r="C28" s="11">
        <v>25</v>
      </c>
      <c r="D28">
        <v>18</v>
      </c>
      <c r="E28">
        <v>10</v>
      </c>
      <c r="K28" s="15">
        <f>25</f>
        <v>25</v>
      </c>
      <c r="L28" s="15">
        <f t="shared" si="0"/>
        <v>0</v>
      </c>
      <c r="M28" s="15">
        <f t="shared" si="1"/>
        <v>0</v>
      </c>
      <c r="N28" s="15" t="str">
        <f t="shared" si="2"/>
        <v/>
      </c>
      <c r="O28" s="15" t="str">
        <f t="shared" si="3"/>
        <v/>
      </c>
      <c r="Q28" s="32"/>
      <c r="R28" s="32"/>
      <c r="S28" s="32"/>
      <c r="T28" s="32"/>
    </row>
    <row r="29" spans="1:21" ht="18" customHeight="1" x14ac:dyDescent="0.25">
      <c r="A29" s="35" t="s">
        <v>56</v>
      </c>
      <c r="C29" s="11">
        <v>26</v>
      </c>
      <c r="D29">
        <v>18</v>
      </c>
      <c r="E29">
        <v>10</v>
      </c>
      <c r="K29" s="15">
        <f>26</f>
        <v>26</v>
      </c>
      <c r="L29" s="15">
        <f t="shared" si="0"/>
        <v>0</v>
      </c>
      <c r="M29" s="15">
        <f t="shared" si="1"/>
        <v>0</v>
      </c>
      <c r="N29" s="15" t="str">
        <f t="shared" si="2"/>
        <v/>
      </c>
      <c r="O29" s="15" t="str">
        <f t="shared" si="3"/>
        <v/>
      </c>
      <c r="Q29" s="32"/>
      <c r="R29" s="32"/>
      <c r="S29" s="32"/>
      <c r="T29" s="32"/>
    </row>
    <row r="30" spans="1:21" ht="18" customHeight="1" x14ac:dyDescent="0.25">
      <c r="A30" s="32"/>
      <c r="C30" s="11">
        <v>27</v>
      </c>
      <c r="D30">
        <v>19</v>
      </c>
      <c r="E30">
        <v>10</v>
      </c>
      <c r="K30" s="15">
        <f>27</f>
        <v>27</v>
      </c>
      <c r="L30" s="15">
        <f t="shared" si="0"/>
        <v>0</v>
      </c>
      <c r="M30" s="15">
        <f t="shared" si="1"/>
        <v>0</v>
      </c>
      <c r="N30" s="15" t="str">
        <f t="shared" si="2"/>
        <v/>
      </c>
      <c r="O30" s="15" t="str">
        <f t="shared" si="3"/>
        <v/>
      </c>
      <c r="Q30" s="32"/>
      <c r="R30" s="32"/>
      <c r="S30" s="32"/>
      <c r="T30" s="32"/>
    </row>
    <row r="31" spans="1:21" ht="18" customHeight="1" x14ac:dyDescent="0.25">
      <c r="C31" s="11">
        <v>28</v>
      </c>
      <c r="D31">
        <v>19</v>
      </c>
      <c r="E31">
        <v>10</v>
      </c>
      <c r="K31" s="15">
        <f>28</f>
        <v>28</v>
      </c>
      <c r="L31" s="15">
        <f t="shared" si="0"/>
        <v>0</v>
      </c>
      <c r="M31" s="15">
        <f t="shared" si="1"/>
        <v>0</v>
      </c>
      <c r="N31" s="15" t="str">
        <f t="shared" si="2"/>
        <v/>
      </c>
      <c r="O31" s="15" t="str">
        <f t="shared" si="3"/>
        <v/>
      </c>
      <c r="Q31" s="32"/>
      <c r="R31" s="32"/>
      <c r="S31" s="32"/>
      <c r="T31" s="32"/>
    </row>
    <row r="32" spans="1:21" ht="18" customHeight="1" x14ac:dyDescent="0.25">
      <c r="C32" s="11">
        <v>29</v>
      </c>
      <c r="D32">
        <v>19</v>
      </c>
      <c r="E32">
        <v>11</v>
      </c>
      <c r="K32" s="15">
        <f>29</f>
        <v>29</v>
      </c>
      <c r="L32" s="15">
        <f t="shared" si="0"/>
        <v>0</v>
      </c>
      <c r="M32" s="15">
        <f t="shared" si="1"/>
        <v>0</v>
      </c>
      <c r="N32" s="15" t="str">
        <f t="shared" si="2"/>
        <v/>
      </c>
      <c r="O32" s="15" t="str">
        <f t="shared" si="3"/>
        <v/>
      </c>
      <c r="Q32" s="32"/>
      <c r="R32" s="32"/>
      <c r="S32" s="32"/>
      <c r="T32" s="32"/>
    </row>
    <row r="33" spans="1:20" ht="18" customHeight="1" x14ac:dyDescent="0.25">
      <c r="C33" s="11">
        <v>30</v>
      </c>
      <c r="D33">
        <v>19</v>
      </c>
      <c r="E33">
        <v>11</v>
      </c>
      <c r="K33" s="15">
        <f>30</f>
        <v>30</v>
      </c>
      <c r="L33" s="15">
        <f t="shared" si="0"/>
        <v>0</v>
      </c>
      <c r="M33" s="15">
        <f t="shared" si="1"/>
        <v>0</v>
      </c>
      <c r="N33" s="15" t="str">
        <f t="shared" si="2"/>
        <v/>
      </c>
      <c r="O33" s="15" t="str">
        <f t="shared" si="3"/>
        <v/>
      </c>
      <c r="Q33" s="32"/>
      <c r="R33" s="32"/>
      <c r="S33" s="32"/>
      <c r="T33" s="32"/>
    </row>
    <row r="34" spans="1:20" ht="18" customHeight="1" x14ac:dyDescent="0.25">
      <c r="C34" s="11">
        <v>31</v>
      </c>
      <c r="D34">
        <v>19</v>
      </c>
      <c r="E34">
        <v>11</v>
      </c>
      <c r="K34" s="15">
        <f>31</f>
        <v>31</v>
      </c>
      <c r="L34" s="15">
        <f t="shared" si="0"/>
        <v>1</v>
      </c>
      <c r="M34" s="15">
        <f t="shared" si="1"/>
        <v>0</v>
      </c>
      <c r="N34" s="15" t="str">
        <f t="shared" si="2"/>
        <v/>
      </c>
      <c r="O34" s="15" t="str">
        <f t="shared" si="3"/>
        <v/>
      </c>
      <c r="Q34" s="32"/>
      <c r="R34" s="32"/>
      <c r="S34" s="32"/>
      <c r="T34" s="32"/>
    </row>
    <row r="35" spans="1:20" ht="18" customHeight="1" x14ac:dyDescent="0.25">
      <c r="A35" s="35" t="s">
        <v>57</v>
      </c>
      <c r="C35" s="11">
        <v>32</v>
      </c>
      <c r="D35">
        <v>19</v>
      </c>
      <c r="E35">
        <v>11</v>
      </c>
      <c r="K35" s="15">
        <f>32</f>
        <v>32</v>
      </c>
      <c r="L35" s="15">
        <f t="shared" si="0"/>
        <v>0</v>
      </c>
      <c r="M35" s="15">
        <f t="shared" si="1"/>
        <v>0</v>
      </c>
      <c r="N35" s="15" t="str">
        <f t="shared" si="2"/>
        <v/>
      </c>
      <c r="O35" s="15" t="str">
        <f t="shared" si="3"/>
        <v/>
      </c>
    </row>
    <row r="36" spans="1:20" ht="18" customHeight="1" x14ac:dyDescent="0.25">
      <c r="A36" s="32"/>
      <c r="C36" s="11">
        <v>33</v>
      </c>
      <c r="D36">
        <v>19</v>
      </c>
      <c r="E36">
        <v>11</v>
      </c>
      <c r="K36" s="15">
        <f>33</f>
        <v>33</v>
      </c>
      <c r="L36" s="15">
        <f t="shared" si="0"/>
        <v>0</v>
      </c>
      <c r="M36" s="15">
        <f t="shared" si="1"/>
        <v>0</v>
      </c>
      <c r="N36" s="15" t="str">
        <f t="shared" si="2"/>
        <v/>
      </c>
      <c r="O36" s="15" t="str">
        <f t="shared" si="3"/>
        <v/>
      </c>
    </row>
    <row r="37" spans="1:20" ht="18" customHeight="1" x14ac:dyDescent="0.25">
      <c r="A37" s="32"/>
      <c r="C37" s="11">
        <v>34</v>
      </c>
      <c r="D37">
        <v>20</v>
      </c>
      <c r="E37">
        <v>11</v>
      </c>
      <c r="K37" s="15">
        <f>34</f>
        <v>34</v>
      </c>
      <c r="L37" s="15">
        <f t="shared" si="0"/>
        <v>0</v>
      </c>
      <c r="M37" s="15">
        <f t="shared" si="1"/>
        <v>0</v>
      </c>
      <c r="N37" s="15" t="str">
        <f t="shared" si="2"/>
        <v/>
      </c>
      <c r="O37" s="15" t="str">
        <f t="shared" si="3"/>
        <v/>
      </c>
    </row>
    <row r="38" spans="1:20" ht="18" customHeight="1" x14ac:dyDescent="0.25">
      <c r="A38" s="32"/>
      <c r="C38" s="11">
        <v>35</v>
      </c>
      <c r="D38">
        <v>20</v>
      </c>
      <c r="E38">
        <v>12</v>
      </c>
      <c r="K38" s="15">
        <f>35</f>
        <v>35</v>
      </c>
      <c r="L38" s="15">
        <f t="shared" si="0"/>
        <v>0</v>
      </c>
      <c r="M38" s="15">
        <f t="shared" si="1"/>
        <v>0</v>
      </c>
      <c r="N38" s="15" t="str">
        <f t="shared" si="2"/>
        <v/>
      </c>
      <c r="O38" s="15" t="str">
        <f t="shared" si="3"/>
        <v/>
      </c>
    </row>
    <row r="39" spans="1:20" ht="18" customHeight="1" x14ac:dyDescent="0.25">
      <c r="C39" s="11">
        <v>36</v>
      </c>
      <c r="D39">
        <v>20</v>
      </c>
      <c r="E39">
        <v>12</v>
      </c>
      <c r="K39" s="15">
        <f>36</f>
        <v>36</v>
      </c>
      <c r="L39" s="15">
        <f t="shared" si="0"/>
        <v>0</v>
      </c>
      <c r="M39" s="15">
        <f t="shared" si="1"/>
        <v>0</v>
      </c>
      <c r="N39" s="15" t="str">
        <f t="shared" si="2"/>
        <v/>
      </c>
      <c r="O39" s="15" t="str">
        <f t="shared" si="3"/>
        <v/>
      </c>
    </row>
    <row r="40" spans="1:20" ht="18" customHeight="1" x14ac:dyDescent="0.25">
      <c r="C40" s="11">
        <v>37</v>
      </c>
      <c r="D40">
        <v>20</v>
      </c>
      <c r="E40">
        <v>12</v>
      </c>
      <c r="K40" s="15">
        <f>37</f>
        <v>37</v>
      </c>
      <c r="L40" s="15">
        <f t="shared" si="0"/>
        <v>0</v>
      </c>
      <c r="M40" s="15">
        <f t="shared" si="1"/>
        <v>0</v>
      </c>
      <c r="N40" s="15" t="str">
        <f t="shared" si="2"/>
        <v/>
      </c>
      <c r="O40" s="15" t="str">
        <f t="shared" si="3"/>
        <v/>
      </c>
    </row>
    <row r="41" spans="1:20" ht="18" customHeight="1" x14ac:dyDescent="0.25">
      <c r="C41" s="11">
        <v>38</v>
      </c>
      <c r="D41">
        <v>20</v>
      </c>
      <c r="E41">
        <v>12</v>
      </c>
      <c r="K41" s="15">
        <f>38</f>
        <v>38</v>
      </c>
      <c r="L41" s="15">
        <f t="shared" si="0"/>
        <v>0</v>
      </c>
      <c r="M41" s="15">
        <f t="shared" si="1"/>
        <v>0</v>
      </c>
      <c r="N41" s="15" t="str">
        <f t="shared" si="2"/>
        <v/>
      </c>
      <c r="O41" s="15" t="str">
        <f t="shared" si="3"/>
        <v/>
      </c>
    </row>
    <row r="42" spans="1:20" ht="18" customHeight="1" x14ac:dyDescent="0.25">
      <c r="C42" s="11">
        <v>39</v>
      </c>
      <c r="D42">
        <v>20</v>
      </c>
      <c r="E42">
        <v>12</v>
      </c>
      <c r="K42" s="15">
        <f>39</f>
        <v>39</v>
      </c>
      <c r="L42" s="15">
        <f t="shared" si="0"/>
        <v>0</v>
      </c>
      <c r="M42" s="15">
        <f t="shared" si="1"/>
        <v>0</v>
      </c>
      <c r="N42" s="15" t="str">
        <f t="shared" si="2"/>
        <v/>
      </c>
      <c r="O42" s="15" t="str">
        <f t="shared" si="3"/>
        <v/>
      </c>
    </row>
    <row r="43" spans="1:20" ht="18" customHeight="1" x14ac:dyDescent="0.25">
      <c r="C43" s="11">
        <v>40</v>
      </c>
      <c r="D43">
        <v>20</v>
      </c>
      <c r="E43">
        <v>13</v>
      </c>
      <c r="K43" s="15">
        <f>40</f>
        <v>40</v>
      </c>
      <c r="L43" s="15">
        <f t="shared" si="0"/>
        <v>1</v>
      </c>
      <c r="M43" s="15">
        <f t="shared" si="1"/>
        <v>0</v>
      </c>
      <c r="N43" s="15" t="str">
        <f t="shared" si="2"/>
        <v/>
      </c>
      <c r="O43" s="15" t="str">
        <f t="shared" si="3"/>
        <v/>
      </c>
    </row>
    <row r="44" spans="1:20" ht="18" customHeight="1" x14ac:dyDescent="0.25">
      <c r="C44" s="11">
        <v>41</v>
      </c>
      <c r="D44">
        <v>21</v>
      </c>
      <c r="E44">
        <v>14</v>
      </c>
    </row>
    <row r="45" spans="1:20" ht="18" customHeight="1" x14ac:dyDescent="0.25">
      <c r="C45" s="11">
        <v>42</v>
      </c>
      <c r="D45">
        <v>21</v>
      </c>
      <c r="E45">
        <v>14</v>
      </c>
    </row>
    <row r="46" spans="1:20" ht="18" customHeight="1" x14ac:dyDescent="0.25">
      <c r="C46" s="11">
        <v>43</v>
      </c>
      <c r="D46">
        <v>21</v>
      </c>
      <c r="E46">
        <v>14</v>
      </c>
    </row>
    <row r="47" spans="1:20" ht="18" customHeight="1" x14ac:dyDescent="0.25">
      <c r="C47" s="11">
        <v>44</v>
      </c>
      <c r="D47">
        <v>22</v>
      </c>
      <c r="E47">
        <v>14</v>
      </c>
    </row>
    <row r="48" spans="1:20" ht="18" customHeight="1" x14ac:dyDescent="0.25">
      <c r="C48" s="11">
        <v>45</v>
      </c>
      <c r="D48">
        <v>22</v>
      </c>
      <c r="E48">
        <v>15</v>
      </c>
    </row>
    <row r="49" spans="3:5" ht="18" customHeight="1" x14ac:dyDescent="0.25">
      <c r="C49" s="11">
        <v>46</v>
      </c>
      <c r="D49">
        <v>23</v>
      </c>
      <c r="E49">
        <v>15</v>
      </c>
    </row>
    <row r="50" spans="3:5" ht="18" customHeight="1" x14ac:dyDescent="0.25">
      <c r="C50" s="11">
        <v>47</v>
      </c>
      <c r="D50">
        <v>23</v>
      </c>
      <c r="E50">
        <v>15</v>
      </c>
    </row>
    <row r="51" spans="3:5" ht="18" customHeight="1" x14ac:dyDescent="0.25">
      <c r="C51" s="11">
        <v>48</v>
      </c>
      <c r="D51">
        <v>24</v>
      </c>
      <c r="E51">
        <v>16</v>
      </c>
    </row>
    <row r="52" spans="3:5" ht="18" customHeight="1" x14ac:dyDescent="0.25">
      <c r="C52" s="11">
        <v>49</v>
      </c>
      <c r="D52">
        <v>31</v>
      </c>
      <c r="E52">
        <v>16</v>
      </c>
    </row>
    <row r="53" spans="3:5" ht="18" customHeight="1" x14ac:dyDescent="0.25">
      <c r="C53" s="11">
        <v>50</v>
      </c>
      <c r="D53">
        <v>40</v>
      </c>
      <c r="E53">
        <v>17</v>
      </c>
    </row>
  </sheetData>
  <mergeCells count="8">
    <mergeCell ref="A35:A38"/>
    <mergeCell ref="Q22:T22"/>
    <mergeCell ref="Q23:T34"/>
    <mergeCell ref="A4:A9"/>
    <mergeCell ref="A11:A14"/>
    <mergeCell ref="A16:A18"/>
    <mergeCell ref="A20:A21"/>
    <mergeCell ref="A29:A30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43E4-4124-4E75-944C-F88ED3C91097}">
  <dimension ref="A1:U53"/>
  <sheetViews>
    <sheetView workbookViewId="0">
      <pane ySplit="3" topLeftCell="A4" activePane="bottomLeft" state="frozenSplit"/>
      <selection pane="bottomLeft"/>
    </sheetView>
  </sheetViews>
  <sheetFormatPr defaultRowHeight="14.3" x14ac:dyDescent="0.25"/>
  <cols>
    <col min="1" max="1" width="54.625" customWidth="1"/>
    <col min="2" max="2" width="2.625" customWidth="1"/>
    <col min="3" max="3" width="8.625" customWidth="1"/>
    <col min="4" max="5" width="9.625" customWidth="1"/>
    <col min="6" max="6" width="2.625" customWidth="1"/>
    <col min="7" max="7" width="40.625" customWidth="1"/>
    <col min="8" max="9" width="11.625" customWidth="1"/>
    <col min="10" max="10" width="2.625" customWidth="1"/>
    <col min="11" max="11" width="9.625" customWidth="1"/>
    <col min="12" max="15" width="13.625" customWidth="1"/>
    <col min="16" max="16" width="2.625" customWidth="1"/>
    <col min="17" max="17" width="60.625" customWidth="1"/>
    <col min="18" max="19" width="12.625" customWidth="1"/>
    <col min="20" max="20" width="50.625" customWidth="1"/>
    <col min="21" max="21" width="13.625" customWidth="1"/>
  </cols>
  <sheetData>
    <row r="1" spans="1:21" ht="19.05" x14ac:dyDescent="0.25">
      <c r="A1" s="1" t="s">
        <v>94</v>
      </c>
    </row>
    <row r="2" spans="1:21" x14ac:dyDescent="0.25">
      <c r="A2" s="2" t="s">
        <v>37</v>
      </c>
    </row>
    <row r="3" spans="1:21" ht="31.95" customHeight="1" x14ac:dyDescent="0.25">
      <c r="A3" s="3" t="s">
        <v>38</v>
      </c>
      <c r="C3" s="3" t="s">
        <v>39</v>
      </c>
      <c r="D3" s="3" t="s">
        <v>40</v>
      </c>
      <c r="E3" s="3" t="s">
        <v>41</v>
      </c>
      <c r="G3" s="3" t="s">
        <v>42</v>
      </c>
      <c r="H3" s="3" t="s">
        <v>40</v>
      </c>
      <c r="I3" s="3" t="s">
        <v>41</v>
      </c>
      <c r="K3" s="10" t="s">
        <v>39</v>
      </c>
      <c r="L3" s="10" t="s">
        <v>106</v>
      </c>
      <c r="M3" s="10" t="s">
        <v>107</v>
      </c>
      <c r="N3" s="10" t="s">
        <v>108</v>
      </c>
      <c r="O3" s="10" t="s">
        <v>109</v>
      </c>
      <c r="Q3" s="10" t="s">
        <v>43</v>
      </c>
      <c r="R3" s="10" t="s">
        <v>40</v>
      </c>
      <c r="S3" s="10" t="s">
        <v>41</v>
      </c>
      <c r="T3" s="10" t="s">
        <v>44</v>
      </c>
      <c r="U3" s="10" t="s">
        <v>45</v>
      </c>
    </row>
    <row r="4" spans="1:21" ht="18" customHeight="1" x14ac:dyDescent="0.25">
      <c r="A4" s="32" t="s">
        <v>46</v>
      </c>
      <c r="C4" s="11">
        <v>1</v>
      </c>
      <c r="D4">
        <v>10</v>
      </c>
      <c r="E4">
        <v>1</v>
      </c>
      <c r="G4" s="4" t="s">
        <v>97</v>
      </c>
      <c r="H4" s="13"/>
      <c r="I4" s="13"/>
      <c r="K4" s="15">
        <f t="shared" ref="K4:K35" si="0">C4</f>
        <v>1</v>
      </c>
      <c r="L4" s="22">
        <f t="shared" ref="L4:L35" si="1">D4-$R$10</f>
        <v>-8.8999999999999986</v>
      </c>
      <c r="M4" s="22">
        <f t="shared" ref="M4:M35" si="2">L4^2</f>
        <v>79.20999999999998</v>
      </c>
      <c r="N4" s="22">
        <f t="shared" ref="N4:N35" si="3">E4-$S$10</f>
        <v>-9.1999999999999993</v>
      </c>
      <c r="O4" s="22">
        <f t="shared" ref="O4:O35" si="4">N4^2</f>
        <v>84.639999999999986</v>
      </c>
      <c r="Q4" s="16" t="s">
        <v>110</v>
      </c>
    </row>
    <row r="5" spans="1:21" ht="18" customHeight="1" x14ac:dyDescent="0.25">
      <c r="A5" s="32"/>
      <c r="C5" s="11">
        <v>2</v>
      </c>
      <c r="D5">
        <v>11</v>
      </c>
      <c r="E5">
        <v>3</v>
      </c>
      <c r="G5" s="4" t="s">
        <v>98</v>
      </c>
      <c r="H5" s="13"/>
      <c r="I5" s="13"/>
      <c r="K5" s="15">
        <f t="shared" si="0"/>
        <v>2</v>
      </c>
      <c r="L5" s="22">
        <f t="shared" si="1"/>
        <v>-7.8999999999999986</v>
      </c>
      <c r="M5" s="22">
        <f t="shared" si="2"/>
        <v>62.409999999999975</v>
      </c>
      <c r="N5" s="22">
        <f t="shared" si="3"/>
        <v>-7.1999999999999993</v>
      </c>
      <c r="O5" s="22">
        <f t="shared" si="4"/>
        <v>51.839999999999989</v>
      </c>
      <c r="Q5" s="5" t="s">
        <v>111</v>
      </c>
      <c r="R5" s="17">
        <f>D4</f>
        <v>10</v>
      </c>
      <c r="S5" s="17">
        <f>E4</f>
        <v>1</v>
      </c>
      <c r="T5" s="5" t="s">
        <v>112</v>
      </c>
    </row>
    <row r="6" spans="1:21" ht="18" customHeight="1" x14ac:dyDescent="0.25">
      <c r="A6" s="32"/>
      <c r="C6" s="11">
        <v>3</v>
      </c>
      <c r="D6">
        <v>12</v>
      </c>
      <c r="E6">
        <v>4</v>
      </c>
      <c r="G6" s="4" t="s">
        <v>99</v>
      </c>
      <c r="H6" s="13"/>
      <c r="I6" s="13"/>
      <c r="K6" s="15">
        <f t="shared" si="0"/>
        <v>3</v>
      </c>
      <c r="L6" s="22">
        <f t="shared" si="1"/>
        <v>-6.8999999999999986</v>
      </c>
      <c r="M6" s="22">
        <f t="shared" si="2"/>
        <v>47.609999999999978</v>
      </c>
      <c r="N6" s="22">
        <f t="shared" si="3"/>
        <v>-6.1999999999999993</v>
      </c>
      <c r="O6" s="22">
        <f t="shared" si="4"/>
        <v>38.439999999999991</v>
      </c>
      <c r="Q6" s="5" t="s">
        <v>113</v>
      </c>
      <c r="R6" s="17">
        <f>D53</f>
        <v>40</v>
      </c>
      <c r="S6" s="17">
        <f>E53</f>
        <v>17</v>
      </c>
      <c r="T6" s="5" t="s">
        <v>114</v>
      </c>
    </row>
    <row r="7" spans="1:21" ht="18" customHeight="1" x14ac:dyDescent="0.25">
      <c r="A7" s="32"/>
      <c r="C7" s="11">
        <v>4</v>
      </c>
      <c r="D7">
        <v>15</v>
      </c>
      <c r="E7">
        <v>5</v>
      </c>
      <c r="G7" s="4" t="s">
        <v>52</v>
      </c>
      <c r="H7" s="14"/>
      <c r="I7" s="14"/>
      <c r="K7" s="15">
        <f t="shared" si="0"/>
        <v>4</v>
      </c>
      <c r="L7" s="22">
        <f t="shared" si="1"/>
        <v>-3.8999999999999986</v>
      </c>
      <c r="M7" s="22">
        <f t="shared" si="2"/>
        <v>15.209999999999988</v>
      </c>
      <c r="N7" s="22">
        <f t="shared" si="3"/>
        <v>-5.1999999999999993</v>
      </c>
      <c r="O7" s="22">
        <f t="shared" si="4"/>
        <v>27.039999999999992</v>
      </c>
      <c r="Q7" s="5" t="s">
        <v>115</v>
      </c>
      <c r="R7" s="17">
        <f>$R$6-$R$5</f>
        <v>30</v>
      </c>
      <c r="S7" s="17">
        <f>$S$6-$S$5</f>
        <v>16</v>
      </c>
      <c r="T7" s="5" t="s">
        <v>116</v>
      </c>
    </row>
    <row r="8" spans="1:21" ht="18" customHeight="1" x14ac:dyDescent="0.25">
      <c r="A8" s="32"/>
      <c r="C8" s="11">
        <v>5</v>
      </c>
      <c r="D8">
        <v>15</v>
      </c>
      <c r="E8">
        <v>5</v>
      </c>
      <c r="G8" s="4" t="s">
        <v>100</v>
      </c>
      <c r="H8" s="14"/>
      <c r="I8" s="14"/>
      <c r="K8" s="15">
        <f t="shared" si="0"/>
        <v>5</v>
      </c>
      <c r="L8" s="22">
        <f t="shared" si="1"/>
        <v>-3.8999999999999986</v>
      </c>
      <c r="M8" s="22">
        <f t="shared" si="2"/>
        <v>15.209999999999988</v>
      </c>
      <c r="N8" s="22">
        <f t="shared" si="3"/>
        <v>-5.1999999999999993</v>
      </c>
      <c r="O8" s="22">
        <f t="shared" si="4"/>
        <v>27.039999999999992</v>
      </c>
      <c r="Q8" s="16" t="s">
        <v>117</v>
      </c>
    </row>
    <row r="9" spans="1:21" ht="18" customHeight="1" x14ac:dyDescent="0.25">
      <c r="A9" s="32"/>
      <c r="C9" s="11">
        <v>6</v>
      </c>
      <c r="D9">
        <v>15</v>
      </c>
      <c r="E9">
        <v>7</v>
      </c>
      <c r="G9" s="4" t="s">
        <v>101</v>
      </c>
      <c r="H9" s="14"/>
      <c r="I9" s="14"/>
      <c r="K9" s="15">
        <f t="shared" si="0"/>
        <v>6</v>
      </c>
      <c r="L9" s="22">
        <f t="shared" si="1"/>
        <v>-3.8999999999999986</v>
      </c>
      <c r="M9" s="22">
        <f t="shared" si="2"/>
        <v>15.209999999999988</v>
      </c>
      <c r="N9" s="22">
        <f t="shared" si="3"/>
        <v>-3.1999999999999993</v>
      </c>
      <c r="O9" s="22">
        <f t="shared" si="4"/>
        <v>10.239999999999995</v>
      </c>
      <c r="Q9" s="5" t="s">
        <v>118</v>
      </c>
      <c r="R9" s="17">
        <f>COUNT($D$4:$D$53)</f>
        <v>50</v>
      </c>
      <c r="S9" s="17">
        <f>COUNT($E$4:$E$53)</f>
        <v>50</v>
      </c>
      <c r="T9" s="5" t="s">
        <v>64</v>
      </c>
    </row>
    <row r="10" spans="1:21" ht="18" customHeight="1" x14ac:dyDescent="0.25">
      <c r="C10" s="11">
        <v>7</v>
      </c>
      <c r="D10">
        <v>16</v>
      </c>
      <c r="E10">
        <v>7</v>
      </c>
      <c r="G10" s="4" t="s">
        <v>102</v>
      </c>
      <c r="H10" s="14"/>
      <c r="I10" s="14"/>
      <c r="K10" s="15">
        <f t="shared" si="0"/>
        <v>7</v>
      </c>
      <c r="L10" s="22">
        <f t="shared" si="1"/>
        <v>-2.8999999999999986</v>
      </c>
      <c r="M10" s="22">
        <f t="shared" si="2"/>
        <v>8.4099999999999913</v>
      </c>
      <c r="N10" s="22">
        <f t="shared" si="3"/>
        <v>-3.1999999999999993</v>
      </c>
      <c r="O10" s="22">
        <f t="shared" si="4"/>
        <v>10.239999999999995</v>
      </c>
      <c r="Q10" s="5" t="s">
        <v>119</v>
      </c>
      <c r="R10" s="18">
        <f>SUM($D$4:$D$53)/$R$9</f>
        <v>18.899999999999999</v>
      </c>
      <c r="S10" s="18">
        <f>SUM($E$4:$E$53)/$S$9</f>
        <v>10.199999999999999</v>
      </c>
      <c r="T10" s="5" t="s">
        <v>120</v>
      </c>
    </row>
    <row r="11" spans="1:21" ht="18" customHeight="1" x14ac:dyDescent="0.25">
      <c r="A11" s="32" t="s">
        <v>95</v>
      </c>
      <c r="C11" s="11">
        <v>8</v>
      </c>
      <c r="D11">
        <v>16</v>
      </c>
      <c r="E11">
        <v>7</v>
      </c>
      <c r="K11" s="15">
        <f t="shared" si="0"/>
        <v>8</v>
      </c>
      <c r="L11" s="22">
        <f t="shared" si="1"/>
        <v>-2.8999999999999986</v>
      </c>
      <c r="M11" s="22">
        <f t="shared" si="2"/>
        <v>8.4099999999999913</v>
      </c>
      <c r="N11" s="22">
        <f t="shared" si="3"/>
        <v>-3.1999999999999993</v>
      </c>
      <c r="O11" s="22">
        <f t="shared" si="4"/>
        <v>10.239999999999995</v>
      </c>
      <c r="Q11" s="5" t="s">
        <v>121</v>
      </c>
      <c r="R11" s="18">
        <f>ROUND(SUM($L$4:$L$53),10)</f>
        <v>0</v>
      </c>
      <c r="S11" s="18">
        <f>ROUND(SUM($N$4:$N$53),10)</f>
        <v>0</v>
      </c>
      <c r="T11" s="5" t="s">
        <v>122</v>
      </c>
    </row>
    <row r="12" spans="1:21" ht="18" customHeight="1" x14ac:dyDescent="0.25">
      <c r="A12" s="32"/>
      <c r="C12" s="11">
        <v>9</v>
      </c>
      <c r="D12">
        <v>16</v>
      </c>
      <c r="E12">
        <v>7</v>
      </c>
      <c r="K12" s="15">
        <f t="shared" si="0"/>
        <v>9</v>
      </c>
      <c r="L12" s="22">
        <f t="shared" si="1"/>
        <v>-2.8999999999999986</v>
      </c>
      <c r="M12" s="22">
        <f t="shared" si="2"/>
        <v>8.4099999999999913</v>
      </c>
      <c r="N12" s="22">
        <f t="shared" si="3"/>
        <v>-3.1999999999999993</v>
      </c>
      <c r="O12" s="22">
        <f t="shared" si="4"/>
        <v>10.239999999999995</v>
      </c>
      <c r="Q12" s="5" t="s">
        <v>123</v>
      </c>
      <c r="R12" s="18">
        <f>SUM($M$4:$M$53)</f>
        <v>990.49999999999989</v>
      </c>
      <c r="S12" s="18">
        <f>SUM($O$4:$O$53)</f>
        <v>568.00000000000011</v>
      </c>
      <c r="T12" s="5" t="s">
        <v>124</v>
      </c>
    </row>
    <row r="13" spans="1:21" ht="18" customHeight="1" x14ac:dyDescent="0.25">
      <c r="A13" s="32"/>
      <c r="C13" s="11">
        <v>10</v>
      </c>
      <c r="D13">
        <v>16</v>
      </c>
      <c r="E13">
        <v>8</v>
      </c>
      <c r="K13" s="15">
        <f t="shared" si="0"/>
        <v>10</v>
      </c>
      <c r="L13" s="22">
        <f t="shared" si="1"/>
        <v>-2.8999999999999986</v>
      </c>
      <c r="M13" s="22">
        <f t="shared" si="2"/>
        <v>8.4099999999999913</v>
      </c>
      <c r="N13" s="22">
        <f t="shared" si="3"/>
        <v>-2.1999999999999993</v>
      </c>
      <c r="O13" s="22">
        <f t="shared" si="4"/>
        <v>4.8399999999999972</v>
      </c>
      <c r="Q13" s="5" t="s">
        <v>125</v>
      </c>
      <c r="R13" s="17">
        <f>$R$9-1</f>
        <v>49</v>
      </c>
      <c r="S13" s="17">
        <f>$S$9-1</f>
        <v>49</v>
      </c>
      <c r="T13" s="5" t="s">
        <v>126</v>
      </c>
    </row>
    <row r="14" spans="1:21" ht="18" customHeight="1" x14ac:dyDescent="0.25">
      <c r="A14" s="32"/>
      <c r="C14" s="11">
        <v>11</v>
      </c>
      <c r="D14">
        <v>17</v>
      </c>
      <c r="E14">
        <v>8</v>
      </c>
      <c r="K14" s="15">
        <f t="shared" si="0"/>
        <v>11</v>
      </c>
      <c r="L14" s="22">
        <f t="shared" si="1"/>
        <v>-1.8999999999999986</v>
      </c>
      <c r="M14" s="22">
        <f t="shared" si="2"/>
        <v>3.6099999999999945</v>
      </c>
      <c r="N14" s="22">
        <f t="shared" si="3"/>
        <v>-2.1999999999999993</v>
      </c>
      <c r="O14" s="22">
        <f t="shared" si="4"/>
        <v>4.8399999999999972</v>
      </c>
      <c r="Q14" s="5" t="s">
        <v>127</v>
      </c>
      <c r="R14" s="18">
        <f>$R$12/$R$13</f>
        <v>20.214285714285712</v>
      </c>
      <c r="S14" s="18">
        <f>$S$12/$S$13</f>
        <v>11.59183673469388</v>
      </c>
      <c r="T14" s="5" t="s">
        <v>128</v>
      </c>
    </row>
    <row r="15" spans="1:21" ht="18" customHeight="1" x14ac:dyDescent="0.25">
      <c r="A15" s="32"/>
      <c r="C15" s="11">
        <v>12</v>
      </c>
      <c r="D15">
        <v>17</v>
      </c>
      <c r="E15">
        <v>8</v>
      </c>
      <c r="K15" s="15">
        <f t="shared" si="0"/>
        <v>12</v>
      </c>
      <c r="L15" s="22">
        <f t="shared" si="1"/>
        <v>-1.8999999999999986</v>
      </c>
      <c r="M15" s="22">
        <f t="shared" si="2"/>
        <v>3.6099999999999945</v>
      </c>
      <c r="N15" s="22">
        <f t="shared" si="3"/>
        <v>-2.1999999999999993</v>
      </c>
      <c r="O15" s="22">
        <f t="shared" si="4"/>
        <v>4.8399999999999972</v>
      </c>
      <c r="Q15" s="5" t="s">
        <v>129</v>
      </c>
      <c r="R15" s="18">
        <f>SQRT($R$14)</f>
        <v>4.4960299948160616</v>
      </c>
      <c r="S15" s="18">
        <f>SQRT($S$14)</f>
        <v>3.4046786536608531</v>
      </c>
      <c r="T15" s="5" t="s">
        <v>130</v>
      </c>
    </row>
    <row r="16" spans="1:21" ht="18" customHeight="1" x14ac:dyDescent="0.25">
      <c r="C16" s="11">
        <v>13</v>
      </c>
      <c r="D16">
        <v>17</v>
      </c>
      <c r="E16">
        <v>8</v>
      </c>
      <c r="K16" s="15">
        <f t="shared" si="0"/>
        <v>13</v>
      </c>
      <c r="L16" s="22">
        <f t="shared" si="1"/>
        <v>-1.8999999999999986</v>
      </c>
      <c r="M16" s="22">
        <f t="shared" si="2"/>
        <v>3.6099999999999945</v>
      </c>
      <c r="N16" s="22">
        <f t="shared" si="3"/>
        <v>-2.1999999999999993</v>
      </c>
      <c r="O16" s="22">
        <f t="shared" si="4"/>
        <v>4.8399999999999972</v>
      </c>
      <c r="Q16" s="16" t="s">
        <v>85</v>
      </c>
    </row>
    <row r="17" spans="1:21" ht="18" customHeight="1" x14ac:dyDescent="0.25">
      <c r="A17" s="34" t="s">
        <v>48</v>
      </c>
      <c r="C17" s="11">
        <v>14</v>
      </c>
      <c r="D17">
        <v>17</v>
      </c>
      <c r="E17">
        <v>9</v>
      </c>
      <c r="K17" s="15">
        <f t="shared" si="0"/>
        <v>14</v>
      </c>
      <c r="L17" s="22">
        <f t="shared" si="1"/>
        <v>-1.8999999999999986</v>
      </c>
      <c r="M17" s="22">
        <f t="shared" si="2"/>
        <v>3.6099999999999945</v>
      </c>
      <c r="N17" s="22">
        <f t="shared" si="3"/>
        <v>-1.1999999999999993</v>
      </c>
      <c r="O17" s="22">
        <f t="shared" si="4"/>
        <v>1.4399999999999984</v>
      </c>
      <c r="Q17" s="5" t="s">
        <v>131</v>
      </c>
      <c r="R17" s="19">
        <f>MIN($D$4:$D$53)</f>
        <v>10</v>
      </c>
      <c r="S17" s="19">
        <f>MIN($E$4:$E$53)</f>
        <v>1</v>
      </c>
      <c r="T17" s="5" t="s">
        <v>132</v>
      </c>
      <c r="U17" s="21" t="str">
        <f>IF(AND(ABS(R17-$R$5)&lt;0.000001,ABS(S17-$S$5)&lt;0.000001),"ano","ne")</f>
        <v>ano</v>
      </c>
    </row>
    <row r="18" spans="1:21" ht="18" customHeight="1" x14ac:dyDescent="0.25">
      <c r="A18" s="32"/>
      <c r="C18" s="11">
        <v>15</v>
      </c>
      <c r="D18">
        <v>17</v>
      </c>
      <c r="E18">
        <v>9</v>
      </c>
      <c r="K18" s="15">
        <f t="shared" si="0"/>
        <v>15</v>
      </c>
      <c r="L18" s="22">
        <f t="shared" si="1"/>
        <v>-1.8999999999999986</v>
      </c>
      <c r="M18" s="22">
        <f t="shared" si="2"/>
        <v>3.6099999999999945</v>
      </c>
      <c r="N18" s="22">
        <f t="shared" si="3"/>
        <v>-1.1999999999999993</v>
      </c>
      <c r="O18" s="22">
        <f t="shared" si="4"/>
        <v>1.4399999999999984</v>
      </c>
      <c r="Q18" s="5" t="s">
        <v>133</v>
      </c>
      <c r="R18" s="19">
        <f>MAX($D$4:$D$53)</f>
        <v>40</v>
      </c>
      <c r="S18" s="19">
        <f>MAX($E$4:$E$53)</f>
        <v>17</v>
      </c>
      <c r="T18" s="5" t="s">
        <v>134</v>
      </c>
      <c r="U18" s="21" t="str">
        <f>IF(AND(ABS(R18-$R$6)&lt;0.000001,ABS(S18-$S$6)&lt;0.000001),"ano","ne")</f>
        <v>ano</v>
      </c>
    </row>
    <row r="19" spans="1:21" ht="18" customHeight="1" x14ac:dyDescent="0.25">
      <c r="A19" s="32"/>
      <c r="C19" s="11">
        <v>16</v>
      </c>
      <c r="D19">
        <v>17</v>
      </c>
      <c r="E19">
        <v>9</v>
      </c>
      <c r="K19" s="15">
        <f t="shared" si="0"/>
        <v>16</v>
      </c>
      <c r="L19" s="22">
        <f t="shared" si="1"/>
        <v>-1.8999999999999986</v>
      </c>
      <c r="M19" s="22">
        <f t="shared" si="2"/>
        <v>3.6099999999999945</v>
      </c>
      <c r="N19" s="22">
        <f t="shared" si="3"/>
        <v>-1.1999999999999993</v>
      </c>
      <c r="O19" s="22">
        <f t="shared" si="4"/>
        <v>1.4399999999999984</v>
      </c>
      <c r="Q19" s="5" t="s">
        <v>135</v>
      </c>
      <c r="R19" s="20">
        <f>_xlfn.VAR.S($D$4:$D$53)</f>
        <v>20.214285714285715</v>
      </c>
      <c r="S19" s="20">
        <f>_xlfn.VAR.S($E$4:$E$53)</f>
        <v>11.591836734693878</v>
      </c>
      <c r="T19" s="5" t="s">
        <v>136</v>
      </c>
      <c r="U19" s="21" t="str">
        <f>IF(AND(ABS(R19-$R$14)&lt;0.000001,ABS(S19-$S$14)&lt;0.000001),"ano","ne")</f>
        <v>ano</v>
      </c>
    </row>
    <row r="20" spans="1:21" ht="18" customHeight="1" x14ac:dyDescent="0.25">
      <c r="C20" s="11">
        <v>17</v>
      </c>
      <c r="D20">
        <v>18</v>
      </c>
      <c r="E20">
        <v>9</v>
      </c>
      <c r="K20" s="15">
        <f t="shared" si="0"/>
        <v>17</v>
      </c>
      <c r="L20" s="22">
        <f t="shared" si="1"/>
        <v>-0.89999999999999858</v>
      </c>
      <c r="M20" s="22">
        <f t="shared" si="2"/>
        <v>0.80999999999999739</v>
      </c>
      <c r="N20" s="22">
        <f t="shared" si="3"/>
        <v>-1.1999999999999993</v>
      </c>
      <c r="O20" s="22">
        <f t="shared" si="4"/>
        <v>1.4399999999999984</v>
      </c>
      <c r="Q20" s="5" t="s">
        <v>137</v>
      </c>
      <c r="R20" s="20">
        <f>_xlfn.STDEV.S($D$4:$D$53)</f>
        <v>4.4960299948160616</v>
      </c>
      <c r="S20" s="20">
        <f>_xlfn.STDEV.S($E$4:$E$53)</f>
        <v>3.4046786536608531</v>
      </c>
      <c r="T20" s="5" t="s">
        <v>138</v>
      </c>
      <c r="U20" s="21" t="str">
        <f>IF(AND(ABS(R20-$R$15)&lt;0.000001,ABS(S20-$S$15)&lt;0.000001),"ano","ne")</f>
        <v>ano</v>
      </c>
    </row>
    <row r="21" spans="1:21" ht="18" customHeight="1" x14ac:dyDescent="0.25">
      <c r="A21" s="35" t="s">
        <v>96</v>
      </c>
      <c r="C21" s="11">
        <v>18</v>
      </c>
      <c r="D21">
        <v>18</v>
      </c>
      <c r="E21">
        <v>9</v>
      </c>
      <c r="K21" s="15">
        <f t="shared" si="0"/>
        <v>18</v>
      </c>
      <c r="L21" s="22">
        <f t="shared" si="1"/>
        <v>-0.89999999999999858</v>
      </c>
      <c r="M21" s="22">
        <f t="shared" si="2"/>
        <v>0.80999999999999739</v>
      </c>
      <c r="N21" s="22">
        <f t="shared" si="3"/>
        <v>-1.1999999999999993</v>
      </c>
      <c r="O21" s="22">
        <f t="shared" si="4"/>
        <v>1.4399999999999984</v>
      </c>
    </row>
    <row r="22" spans="1:21" ht="18" customHeight="1" x14ac:dyDescent="0.25">
      <c r="A22" s="32"/>
      <c r="C22" s="11">
        <v>19</v>
      </c>
      <c r="D22">
        <v>18</v>
      </c>
      <c r="E22">
        <v>9</v>
      </c>
      <c r="K22" s="15">
        <f t="shared" si="0"/>
        <v>19</v>
      </c>
      <c r="L22" s="22">
        <f t="shared" si="1"/>
        <v>-0.89999999999999858</v>
      </c>
      <c r="M22" s="22">
        <f t="shared" si="2"/>
        <v>0.80999999999999739</v>
      </c>
      <c r="N22" s="22">
        <f t="shared" si="3"/>
        <v>-1.1999999999999993</v>
      </c>
      <c r="O22" s="22">
        <f t="shared" si="4"/>
        <v>1.4399999999999984</v>
      </c>
      <c r="Q22" s="33" t="s">
        <v>92</v>
      </c>
      <c r="R22" s="33"/>
      <c r="S22" s="33"/>
      <c r="T22" s="33"/>
    </row>
    <row r="23" spans="1:21" ht="18" customHeight="1" x14ac:dyDescent="0.25">
      <c r="C23" s="11">
        <v>20</v>
      </c>
      <c r="D23">
        <v>18</v>
      </c>
      <c r="E23">
        <v>9</v>
      </c>
      <c r="K23" s="15">
        <f t="shared" si="0"/>
        <v>20</v>
      </c>
      <c r="L23" s="22">
        <f t="shared" si="1"/>
        <v>-0.89999999999999858</v>
      </c>
      <c r="M23" s="22">
        <f t="shared" si="2"/>
        <v>0.80999999999999739</v>
      </c>
      <c r="N23" s="22">
        <f t="shared" si="3"/>
        <v>-1.1999999999999993</v>
      </c>
      <c r="O23" s="22">
        <f t="shared" si="4"/>
        <v>1.4399999999999984</v>
      </c>
      <c r="Q23" s="32" t="s">
        <v>139</v>
      </c>
      <c r="R23" s="32"/>
      <c r="S23" s="32"/>
      <c r="T23" s="32"/>
    </row>
    <row r="24" spans="1:21" ht="18" customHeight="1" x14ac:dyDescent="0.25">
      <c r="C24" s="11">
        <v>21</v>
      </c>
      <c r="D24">
        <v>18</v>
      </c>
      <c r="E24">
        <v>10</v>
      </c>
      <c r="K24" s="15">
        <f t="shared" si="0"/>
        <v>21</v>
      </c>
      <c r="L24" s="22">
        <f t="shared" si="1"/>
        <v>-0.89999999999999858</v>
      </c>
      <c r="M24" s="22">
        <f t="shared" si="2"/>
        <v>0.80999999999999739</v>
      </c>
      <c r="N24" s="22">
        <f t="shared" si="3"/>
        <v>-0.19999999999999929</v>
      </c>
      <c r="O24" s="22">
        <f t="shared" si="4"/>
        <v>3.9999999999999716E-2</v>
      </c>
      <c r="Q24" s="32"/>
      <c r="R24" s="32"/>
      <c r="S24" s="32"/>
      <c r="T24" s="32"/>
    </row>
    <row r="25" spans="1:21" ht="18" customHeight="1" x14ac:dyDescent="0.25">
      <c r="A25" s="10" t="s">
        <v>55</v>
      </c>
      <c r="C25" s="11">
        <v>22</v>
      </c>
      <c r="D25">
        <v>18</v>
      </c>
      <c r="E25">
        <v>10</v>
      </c>
      <c r="K25" s="15">
        <f t="shared" si="0"/>
        <v>22</v>
      </c>
      <c r="L25" s="22">
        <f t="shared" si="1"/>
        <v>-0.89999999999999858</v>
      </c>
      <c r="M25" s="22">
        <f t="shared" si="2"/>
        <v>0.80999999999999739</v>
      </c>
      <c r="N25" s="22">
        <f t="shared" si="3"/>
        <v>-0.19999999999999929</v>
      </c>
      <c r="O25" s="22">
        <f t="shared" si="4"/>
        <v>3.9999999999999716E-2</v>
      </c>
      <c r="Q25" s="32"/>
      <c r="R25" s="32"/>
      <c r="S25" s="32"/>
      <c r="T25" s="32"/>
    </row>
    <row r="26" spans="1:21" ht="18" customHeight="1" x14ac:dyDescent="0.25">
      <c r="C26" s="11">
        <v>23</v>
      </c>
      <c r="D26">
        <v>18</v>
      </c>
      <c r="E26">
        <v>10</v>
      </c>
      <c r="K26" s="15">
        <f t="shared" si="0"/>
        <v>23</v>
      </c>
      <c r="L26" s="22">
        <f t="shared" si="1"/>
        <v>-0.89999999999999858</v>
      </c>
      <c r="M26" s="22">
        <f t="shared" si="2"/>
        <v>0.80999999999999739</v>
      </c>
      <c r="N26" s="22">
        <f t="shared" si="3"/>
        <v>-0.19999999999999929</v>
      </c>
      <c r="O26" s="22">
        <f t="shared" si="4"/>
        <v>3.9999999999999716E-2</v>
      </c>
      <c r="Q26" s="32"/>
      <c r="R26" s="32"/>
      <c r="S26" s="32"/>
      <c r="T26" s="32"/>
    </row>
    <row r="27" spans="1:21" ht="18" customHeight="1" x14ac:dyDescent="0.25">
      <c r="C27" s="11">
        <v>24</v>
      </c>
      <c r="D27">
        <v>18</v>
      </c>
      <c r="E27">
        <v>10</v>
      </c>
      <c r="K27" s="15">
        <f t="shared" si="0"/>
        <v>24</v>
      </c>
      <c r="L27" s="22">
        <f t="shared" si="1"/>
        <v>-0.89999999999999858</v>
      </c>
      <c r="M27" s="22">
        <f t="shared" si="2"/>
        <v>0.80999999999999739</v>
      </c>
      <c r="N27" s="22">
        <f t="shared" si="3"/>
        <v>-0.19999999999999929</v>
      </c>
      <c r="O27" s="22">
        <f t="shared" si="4"/>
        <v>3.9999999999999716E-2</v>
      </c>
      <c r="Q27" s="32"/>
      <c r="R27" s="32"/>
      <c r="S27" s="32"/>
      <c r="T27" s="32"/>
    </row>
    <row r="28" spans="1:21" ht="18" customHeight="1" x14ac:dyDescent="0.25">
      <c r="A28" s="35" t="s">
        <v>103</v>
      </c>
      <c r="C28" s="11">
        <v>25</v>
      </c>
      <c r="D28">
        <v>18</v>
      </c>
      <c r="E28">
        <v>10</v>
      </c>
      <c r="K28" s="15">
        <f t="shared" si="0"/>
        <v>25</v>
      </c>
      <c r="L28" s="22">
        <f t="shared" si="1"/>
        <v>-0.89999999999999858</v>
      </c>
      <c r="M28" s="22">
        <f t="shared" si="2"/>
        <v>0.80999999999999739</v>
      </c>
      <c r="N28" s="22">
        <f t="shared" si="3"/>
        <v>-0.19999999999999929</v>
      </c>
      <c r="O28" s="22">
        <f t="shared" si="4"/>
        <v>3.9999999999999716E-2</v>
      </c>
      <c r="Q28" s="32"/>
      <c r="R28" s="32"/>
      <c r="S28" s="32"/>
      <c r="T28" s="32"/>
    </row>
    <row r="29" spans="1:21" ht="18" customHeight="1" x14ac:dyDescent="0.25">
      <c r="A29" s="32"/>
      <c r="C29" s="11">
        <v>26</v>
      </c>
      <c r="D29">
        <v>18</v>
      </c>
      <c r="E29">
        <v>10</v>
      </c>
      <c r="K29" s="15">
        <f t="shared" si="0"/>
        <v>26</v>
      </c>
      <c r="L29" s="22">
        <f t="shared" si="1"/>
        <v>-0.89999999999999858</v>
      </c>
      <c r="M29" s="22">
        <f t="shared" si="2"/>
        <v>0.80999999999999739</v>
      </c>
      <c r="N29" s="22">
        <f t="shared" si="3"/>
        <v>-0.19999999999999929</v>
      </c>
      <c r="O29" s="22">
        <f t="shared" si="4"/>
        <v>3.9999999999999716E-2</v>
      </c>
      <c r="Q29" s="32"/>
      <c r="R29" s="32"/>
      <c r="S29" s="32"/>
      <c r="T29" s="32"/>
    </row>
    <row r="30" spans="1:21" ht="18" customHeight="1" x14ac:dyDescent="0.25">
      <c r="C30" s="11">
        <v>27</v>
      </c>
      <c r="D30">
        <v>19</v>
      </c>
      <c r="E30">
        <v>10</v>
      </c>
      <c r="K30" s="15">
        <f t="shared" si="0"/>
        <v>27</v>
      </c>
      <c r="L30" s="22">
        <f t="shared" si="1"/>
        <v>0.10000000000000142</v>
      </c>
      <c r="M30" s="22">
        <f t="shared" si="2"/>
        <v>1.0000000000000285E-2</v>
      </c>
      <c r="N30" s="22">
        <f t="shared" si="3"/>
        <v>-0.19999999999999929</v>
      </c>
      <c r="O30" s="22">
        <f t="shared" si="4"/>
        <v>3.9999999999999716E-2</v>
      </c>
      <c r="Q30" s="32"/>
      <c r="R30" s="32"/>
      <c r="S30" s="32"/>
      <c r="T30" s="32"/>
    </row>
    <row r="31" spans="1:21" ht="18" customHeight="1" x14ac:dyDescent="0.25">
      <c r="C31" s="11">
        <v>28</v>
      </c>
      <c r="D31">
        <v>19</v>
      </c>
      <c r="E31">
        <v>10</v>
      </c>
      <c r="K31" s="15">
        <f t="shared" si="0"/>
        <v>28</v>
      </c>
      <c r="L31" s="22">
        <f t="shared" si="1"/>
        <v>0.10000000000000142</v>
      </c>
      <c r="M31" s="22">
        <f t="shared" si="2"/>
        <v>1.0000000000000285E-2</v>
      </c>
      <c r="N31" s="22">
        <f t="shared" si="3"/>
        <v>-0.19999999999999929</v>
      </c>
      <c r="O31" s="22">
        <f t="shared" si="4"/>
        <v>3.9999999999999716E-2</v>
      </c>
      <c r="Q31" s="32"/>
      <c r="R31" s="32"/>
      <c r="S31" s="32"/>
      <c r="T31" s="32"/>
    </row>
    <row r="32" spans="1:21" ht="18" customHeight="1" x14ac:dyDescent="0.25">
      <c r="C32" s="11">
        <v>29</v>
      </c>
      <c r="D32">
        <v>19</v>
      </c>
      <c r="E32">
        <v>11</v>
      </c>
      <c r="K32" s="15">
        <f t="shared" si="0"/>
        <v>29</v>
      </c>
      <c r="L32" s="22">
        <f t="shared" si="1"/>
        <v>0.10000000000000142</v>
      </c>
      <c r="M32" s="22">
        <f t="shared" si="2"/>
        <v>1.0000000000000285E-2</v>
      </c>
      <c r="N32" s="22">
        <f t="shared" si="3"/>
        <v>0.80000000000000071</v>
      </c>
      <c r="O32" s="22">
        <f t="shared" si="4"/>
        <v>0.64000000000000112</v>
      </c>
      <c r="Q32" s="32"/>
      <c r="R32" s="32"/>
      <c r="S32" s="32"/>
      <c r="T32" s="32"/>
    </row>
    <row r="33" spans="1:20" ht="18" customHeight="1" x14ac:dyDescent="0.25">
      <c r="C33" s="11">
        <v>30</v>
      </c>
      <c r="D33">
        <v>19</v>
      </c>
      <c r="E33">
        <v>11</v>
      </c>
      <c r="K33" s="15">
        <f t="shared" si="0"/>
        <v>30</v>
      </c>
      <c r="L33" s="22">
        <f t="shared" si="1"/>
        <v>0.10000000000000142</v>
      </c>
      <c r="M33" s="22">
        <f t="shared" si="2"/>
        <v>1.0000000000000285E-2</v>
      </c>
      <c r="N33" s="22">
        <f t="shared" si="3"/>
        <v>0.80000000000000071</v>
      </c>
      <c r="O33" s="22">
        <f t="shared" si="4"/>
        <v>0.64000000000000112</v>
      </c>
      <c r="Q33" s="32"/>
      <c r="R33" s="32"/>
      <c r="S33" s="32"/>
      <c r="T33" s="32"/>
    </row>
    <row r="34" spans="1:20" ht="18" customHeight="1" x14ac:dyDescent="0.25">
      <c r="A34" s="35" t="s">
        <v>104</v>
      </c>
      <c r="C34" s="11">
        <v>31</v>
      </c>
      <c r="D34">
        <v>19</v>
      </c>
      <c r="E34">
        <v>11</v>
      </c>
      <c r="K34" s="15">
        <f t="shared" si="0"/>
        <v>31</v>
      </c>
      <c r="L34" s="22">
        <f t="shared" si="1"/>
        <v>0.10000000000000142</v>
      </c>
      <c r="M34" s="22">
        <f t="shared" si="2"/>
        <v>1.0000000000000285E-2</v>
      </c>
      <c r="N34" s="22">
        <f t="shared" si="3"/>
        <v>0.80000000000000071</v>
      </c>
      <c r="O34" s="22">
        <f t="shared" si="4"/>
        <v>0.64000000000000112</v>
      </c>
      <c r="Q34" s="32"/>
      <c r="R34" s="32"/>
      <c r="S34" s="32"/>
      <c r="T34" s="32"/>
    </row>
    <row r="35" spans="1:20" ht="18" customHeight="1" x14ac:dyDescent="0.25">
      <c r="A35" s="32"/>
      <c r="C35" s="11">
        <v>32</v>
      </c>
      <c r="D35">
        <v>19</v>
      </c>
      <c r="E35">
        <v>11</v>
      </c>
      <c r="K35" s="15">
        <f t="shared" si="0"/>
        <v>32</v>
      </c>
      <c r="L35" s="22">
        <f t="shared" si="1"/>
        <v>0.10000000000000142</v>
      </c>
      <c r="M35" s="22">
        <f t="shared" si="2"/>
        <v>1.0000000000000285E-2</v>
      </c>
      <c r="N35" s="22">
        <f t="shared" si="3"/>
        <v>0.80000000000000071</v>
      </c>
      <c r="O35" s="22">
        <f t="shared" si="4"/>
        <v>0.64000000000000112</v>
      </c>
      <c r="Q35" s="32"/>
      <c r="R35" s="32"/>
      <c r="S35" s="32"/>
      <c r="T35" s="32"/>
    </row>
    <row r="36" spans="1:20" ht="18" customHeight="1" x14ac:dyDescent="0.25">
      <c r="C36" s="11">
        <v>33</v>
      </c>
      <c r="D36">
        <v>19</v>
      </c>
      <c r="E36">
        <v>11</v>
      </c>
      <c r="K36" s="15">
        <f t="shared" ref="K36:K53" si="5">C36</f>
        <v>33</v>
      </c>
      <c r="L36" s="22">
        <f t="shared" ref="L36:L53" si="6">D36-$R$10</f>
        <v>0.10000000000000142</v>
      </c>
      <c r="M36" s="22">
        <f t="shared" ref="M36:M67" si="7">L36^2</f>
        <v>1.0000000000000285E-2</v>
      </c>
      <c r="N36" s="22">
        <f t="shared" ref="N36:N53" si="8">E36-$S$10</f>
        <v>0.80000000000000071</v>
      </c>
      <c r="O36" s="22">
        <f t="shared" ref="O36:O67" si="9">N36^2</f>
        <v>0.64000000000000112</v>
      </c>
    </row>
    <row r="37" spans="1:20" ht="18" customHeight="1" x14ac:dyDescent="0.25">
      <c r="C37" s="11">
        <v>34</v>
      </c>
      <c r="D37">
        <v>20</v>
      </c>
      <c r="E37">
        <v>11</v>
      </c>
      <c r="K37" s="15">
        <f t="shared" si="5"/>
        <v>34</v>
      </c>
      <c r="L37" s="22">
        <f t="shared" si="6"/>
        <v>1.1000000000000014</v>
      </c>
      <c r="M37" s="22">
        <f t="shared" si="7"/>
        <v>1.2100000000000031</v>
      </c>
      <c r="N37" s="22">
        <f t="shared" si="8"/>
        <v>0.80000000000000071</v>
      </c>
      <c r="O37" s="22">
        <f t="shared" si="9"/>
        <v>0.64000000000000112</v>
      </c>
    </row>
    <row r="38" spans="1:20" ht="18" customHeight="1" x14ac:dyDescent="0.25">
      <c r="C38" s="11">
        <v>35</v>
      </c>
      <c r="D38">
        <v>20</v>
      </c>
      <c r="E38">
        <v>12</v>
      </c>
      <c r="K38" s="15">
        <f t="shared" si="5"/>
        <v>35</v>
      </c>
      <c r="L38" s="22">
        <f t="shared" si="6"/>
        <v>1.1000000000000014</v>
      </c>
      <c r="M38" s="22">
        <f t="shared" si="7"/>
        <v>1.2100000000000031</v>
      </c>
      <c r="N38" s="22">
        <f t="shared" si="8"/>
        <v>1.8000000000000007</v>
      </c>
      <c r="O38" s="22">
        <f t="shared" si="9"/>
        <v>3.2400000000000024</v>
      </c>
    </row>
    <row r="39" spans="1:20" ht="18" customHeight="1" x14ac:dyDescent="0.25">
      <c r="A39" s="12" t="s">
        <v>105</v>
      </c>
      <c r="C39" s="11">
        <v>36</v>
      </c>
      <c r="D39">
        <v>20</v>
      </c>
      <c r="E39">
        <v>12</v>
      </c>
      <c r="K39" s="15">
        <f t="shared" si="5"/>
        <v>36</v>
      </c>
      <c r="L39" s="22">
        <f t="shared" si="6"/>
        <v>1.1000000000000014</v>
      </c>
      <c r="M39" s="22">
        <f t="shared" si="7"/>
        <v>1.2100000000000031</v>
      </c>
      <c r="N39" s="22">
        <f t="shared" si="8"/>
        <v>1.8000000000000007</v>
      </c>
      <c r="O39" s="22">
        <f t="shared" si="9"/>
        <v>3.2400000000000024</v>
      </c>
    </row>
    <row r="40" spans="1:20" ht="18" customHeight="1" x14ac:dyDescent="0.25">
      <c r="C40" s="11">
        <v>37</v>
      </c>
      <c r="D40">
        <v>20</v>
      </c>
      <c r="E40">
        <v>12</v>
      </c>
      <c r="K40" s="15">
        <f t="shared" si="5"/>
        <v>37</v>
      </c>
      <c r="L40" s="22">
        <f t="shared" si="6"/>
        <v>1.1000000000000014</v>
      </c>
      <c r="M40" s="22">
        <f t="shared" si="7"/>
        <v>1.2100000000000031</v>
      </c>
      <c r="N40" s="22">
        <f t="shared" si="8"/>
        <v>1.8000000000000007</v>
      </c>
      <c r="O40" s="22">
        <f t="shared" si="9"/>
        <v>3.2400000000000024</v>
      </c>
    </row>
    <row r="41" spans="1:20" ht="18" customHeight="1" x14ac:dyDescent="0.25">
      <c r="C41" s="11">
        <v>38</v>
      </c>
      <c r="D41">
        <v>20</v>
      </c>
      <c r="E41">
        <v>12</v>
      </c>
      <c r="K41" s="15">
        <f t="shared" si="5"/>
        <v>38</v>
      </c>
      <c r="L41" s="22">
        <f t="shared" si="6"/>
        <v>1.1000000000000014</v>
      </c>
      <c r="M41" s="22">
        <f t="shared" si="7"/>
        <v>1.2100000000000031</v>
      </c>
      <c r="N41" s="22">
        <f t="shared" si="8"/>
        <v>1.8000000000000007</v>
      </c>
      <c r="O41" s="22">
        <f t="shared" si="9"/>
        <v>3.2400000000000024</v>
      </c>
    </row>
    <row r="42" spans="1:20" ht="18" customHeight="1" x14ac:dyDescent="0.25">
      <c r="C42" s="11">
        <v>39</v>
      </c>
      <c r="D42">
        <v>20</v>
      </c>
      <c r="E42">
        <v>12</v>
      </c>
      <c r="K42" s="15">
        <f t="shared" si="5"/>
        <v>39</v>
      </c>
      <c r="L42" s="22">
        <f t="shared" si="6"/>
        <v>1.1000000000000014</v>
      </c>
      <c r="M42" s="22">
        <f t="shared" si="7"/>
        <v>1.2100000000000031</v>
      </c>
      <c r="N42" s="22">
        <f t="shared" si="8"/>
        <v>1.8000000000000007</v>
      </c>
      <c r="O42" s="22">
        <f t="shared" si="9"/>
        <v>3.2400000000000024</v>
      </c>
    </row>
    <row r="43" spans="1:20" ht="18" customHeight="1" x14ac:dyDescent="0.25">
      <c r="C43" s="11">
        <v>40</v>
      </c>
      <c r="D43">
        <v>20</v>
      </c>
      <c r="E43">
        <v>13</v>
      </c>
      <c r="K43" s="15">
        <f t="shared" si="5"/>
        <v>40</v>
      </c>
      <c r="L43" s="22">
        <f t="shared" si="6"/>
        <v>1.1000000000000014</v>
      </c>
      <c r="M43" s="22">
        <f t="shared" si="7"/>
        <v>1.2100000000000031</v>
      </c>
      <c r="N43" s="22">
        <f t="shared" si="8"/>
        <v>2.8000000000000007</v>
      </c>
      <c r="O43" s="22">
        <f t="shared" si="9"/>
        <v>7.8400000000000043</v>
      </c>
    </row>
    <row r="44" spans="1:20" ht="18" customHeight="1" x14ac:dyDescent="0.25">
      <c r="C44" s="11">
        <v>41</v>
      </c>
      <c r="D44">
        <v>21</v>
      </c>
      <c r="E44">
        <v>14</v>
      </c>
      <c r="K44" s="15">
        <f t="shared" si="5"/>
        <v>41</v>
      </c>
      <c r="L44" s="22">
        <f t="shared" si="6"/>
        <v>2.1000000000000014</v>
      </c>
      <c r="M44" s="22">
        <f t="shared" si="7"/>
        <v>4.4100000000000064</v>
      </c>
      <c r="N44" s="22">
        <f t="shared" si="8"/>
        <v>3.8000000000000007</v>
      </c>
      <c r="O44" s="22">
        <f t="shared" si="9"/>
        <v>14.440000000000005</v>
      </c>
    </row>
    <row r="45" spans="1:20" ht="18" customHeight="1" x14ac:dyDescent="0.25">
      <c r="C45" s="11">
        <v>42</v>
      </c>
      <c r="D45">
        <v>21</v>
      </c>
      <c r="E45">
        <v>14</v>
      </c>
      <c r="K45" s="15">
        <f t="shared" si="5"/>
        <v>42</v>
      </c>
      <c r="L45" s="22">
        <f t="shared" si="6"/>
        <v>2.1000000000000014</v>
      </c>
      <c r="M45" s="22">
        <f t="shared" si="7"/>
        <v>4.4100000000000064</v>
      </c>
      <c r="N45" s="22">
        <f t="shared" si="8"/>
        <v>3.8000000000000007</v>
      </c>
      <c r="O45" s="22">
        <f t="shared" si="9"/>
        <v>14.440000000000005</v>
      </c>
    </row>
    <row r="46" spans="1:20" ht="18" customHeight="1" x14ac:dyDescent="0.25">
      <c r="C46" s="11">
        <v>43</v>
      </c>
      <c r="D46">
        <v>21</v>
      </c>
      <c r="E46">
        <v>14</v>
      </c>
      <c r="K46" s="15">
        <f t="shared" si="5"/>
        <v>43</v>
      </c>
      <c r="L46" s="22">
        <f t="shared" si="6"/>
        <v>2.1000000000000014</v>
      </c>
      <c r="M46" s="22">
        <f t="shared" si="7"/>
        <v>4.4100000000000064</v>
      </c>
      <c r="N46" s="22">
        <f t="shared" si="8"/>
        <v>3.8000000000000007</v>
      </c>
      <c r="O46" s="22">
        <f t="shared" si="9"/>
        <v>14.440000000000005</v>
      </c>
    </row>
    <row r="47" spans="1:20" ht="18" customHeight="1" x14ac:dyDescent="0.25">
      <c r="C47" s="11">
        <v>44</v>
      </c>
      <c r="D47">
        <v>22</v>
      </c>
      <c r="E47">
        <v>14</v>
      </c>
      <c r="K47" s="15">
        <f t="shared" si="5"/>
        <v>44</v>
      </c>
      <c r="L47" s="22">
        <f t="shared" si="6"/>
        <v>3.1000000000000014</v>
      </c>
      <c r="M47" s="22">
        <f t="shared" si="7"/>
        <v>9.6100000000000083</v>
      </c>
      <c r="N47" s="22">
        <f t="shared" si="8"/>
        <v>3.8000000000000007</v>
      </c>
      <c r="O47" s="22">
        <f t="shared" si="9"/>
        <v>14.440000000000005</v>
      </c>
    </row>
    <row r="48" spans="1:20" ht="18" customHeight="1" x14ac:dyDescent="0.25">
      <c r="C48" s="11">
        <v>45</v>
      </c>
      <c r="D48">
        <v>22</v>
      </c>
      <c r="E48">
        <v>15</v>
      </c>
      <c r="K48" s="15">
        <f t="shared" si="5"/>
        <v>45</v>
      </c>
      <c r="L48" s="22">
        <f t="shared" si="6"/>
        <v>3.1000000000000014</v>
      </c>
      <c r="M48" s="22">
        <f t="shared" si="7"/>
        <v>9.6100000000000083</v>
      </c>
      <c r="N48" s="22">
        <f t="shared" si="8"/>
        <v>4.8000000000000007</v>
      </c>
      <c r="O48" s="22">
        <f t="shared" si="9"/>
        <v>23.040000000000006</v>
      </c>
    </row>
    <row r="49" spans="3:15" ht="18" customHeight="1" x14ac:dyDescent="0.25">
      <c r="C49" s="11">
        <v>46</v>
      </c>
      <c r="D49">
        <v>23</v>
      </c>
      <c r="E49">
        <v>15</v>
      </c>
      <c r="K49" s="15">
        <f t="shared" si="5"/>
        <v>46</v>
      </c>
      <c r="L49" s="22">
        <f t="shared" si="6"/>
        <v>4.1000000000000014</v>
      </c>
      <c r="M49" s="22">
        <f t="shared" si="7"/>
        <v>16.810000000000013</v>
      </c>
      <c r="N49" s="22">
        <f t="shared" si="8"/>
        <v>4.8000000000000007</v>
      </c>
      <c r="O49" s="22">
        <f t="shared" si="9"/>
        <v>23.040000000000006</v>
      </c>
    </row>
    <row r="50" spans="3:15" ht="18" customHeight="1" x14ac:dyDescent="0.25">
      <c r="C50" s="11">
        <v>47</v>
      </c>
      <c r="D50">
        <v>23</v>
      </c>
      <c r="E50">
        <v>15</v>
      </c>
      <c r="K50" s="15">
        <f t="shared" si="5"/>
        <v>47</v>
      </c>
      <c r="L50" s="22">
        <f t="shared" si="6"/>
        <v>4.1000000000000014</v>
      </c>
      <c r="M50" s="22">
        <f t="shared" si="7"/>
        <v>16.810000000000013</v>
      </c>
      <c r="N50" s="22">
        <f t="shared" si="8"/>
        <v>4.8000000000000007</v>
      </c>
      <c r="O50" s="22">
        <f t="shared" si="9"/>
        <v>23.040000000000006</v>
      </c>
    </row>
    <row r="51" spans="3:15" ht="18" customHeight="1" x14ac:dyDescent="0.25">
      <c r="C51" s="11">
        <v>48</v>
      </c>
      <c r="D51">
        <v>24</v>
      </c>
      <c r="E51">
        <v>16</v>
      </c>
      <c r="K51" s="15">
        <f t="shared" si="5"/>
        <v>48</v>
      </c>
      <c r="L51" s="22">
        <f t="shared" si="6"/>
        <v>5.1000000000000014</v>
      </c>
      <c r="M51" s="22">
        <f t="shared" si="7"/>
        <v>26.010000000000016</v>
      </c>
      <c r="N51" s="22">
        <f t="shared" si="8"/>
        <v>5.8000000000000007</v>
      </c>
      <c r="O51" s="22">
        <f t="shared" si="9"/>
        <v>33.640000000000008</v>
      </c>
    </row>
    <row r="52" spans="3:15" ht="18" customHeight="1" x14ac:dyDescent="0.25">
      <c r="C52" s="11">
        <v>49</v>
      </c>
      <c r="D52">
        <v>31</v>
      </c>
      <c r="E52">
        <v>16</v>
      </c>
      <c r="K52" s="15">
        <f t="shared" si="5"/>
        <v>49</v>
      </c>
      <c r="L52" s="22">
        <f t="shared" si="6"/>
        <v>12.100000000000001</v>
      </c>
      <c r="M52" s="22">
        <f t="shared" si="7"/>
        <v>146.41000000000003</v>
      </c>
      <c r="N52" s="22">
        <f t="shared" si="8"/>
        <v>5.8000000000000007</v>
      </c>
      <c r="O52" s="22">
        <f t="shared" si="9"/>
        <v>33.640000000000008</v>
      </c>
    </row>
    <row r="53" spans="3:15" ht="18" customHeight="1" x14ac:dyDescent="0.25">
      <c r="C53" s="11">
        <v>50</v>
      </c>
      <c r="D53">
        <v>40</v>
      </c>
      <c r="E53">
        <v>17</v>
      </c>
      <c r="K53" s="15">
        <f t="shared" si="5"/>
        <v>50</v>
      </c>
      <c r="L53" s="22">
        <f t="shared" si="6"/>
        <v>21.1</v>
      </c>
      <c r="M53" s="22">
        <f t="shared" si="7"/>
        <v>445.21000000000004</v>
      </c>
      <c r="N53" s="22">
        <f t="shared" si="8"/>
        <v>6.8000000000000007</v>
      </c>
      <c r="O53" s="22">
        <f t="shared" si="9"/>
        <v>46.240000000000009</v>
      </c>
    </row>
  </sheetData>
  <mergeCells count="8">
    <mergeCell ref="Q22:T22"/>
    <mergeCell ref="Q23:T35"/>
    <mergeCell ref="A4:A9"/>
    <mergeCell ref="A11:A15"/>
    <mergeCell ref="A17:A19"/>
    <mergeCell ref="A21:A22"/>
    <mergeCell ref="A28:A29"/>
    <mergeCell ref="A34:A35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68AF-B1C3-4950-BC68-DA536F330563}">
  <dimension ref="A1:U53"/>
  <sheetViews>
    <sheetView workbookViewId="0">
      <pane ySplit="3" topLeftCell="A4" activePane="bottomLeft" state="frozenSplit"/>
      <selection pane="bottomLeft"/>
    </sheetView>
  </sheetViews>
  <sheetFormatPr defaultRowHeight="14.3" x14ac:dyDescent="0.25"/>
  <cols>
    <col min="1" max="1" width="54.625" customWidth="1"/>
    <col min="2" max="2" width="2.625" customWidth="1"/>
    <col min="3" max="3" width="8.625" customWidth="1"/>
    <col min="4" max="5" width="9.625" customWidth="1"/>
    <col min="6" max="6" width="2.625" customWidth="1"/>
    <col min="7" max="7" width="40.625" customWidth="1"/>
    <col min="8" max="9" width="11.625" customWidth="1"/>
    <col min="10" max="10" width="2.625" customWidth="1"/>
    <col min="11" max="11" width="9.625" customWidth="1"/>
    <col min="12" max="15" width="13.625" customWidth="1"/>
    <col min="16" max="16" width="2.625" customWidth="1"/>
    <col min="17" max="17" width="60.625" customWidth="1"/>
    <col min="18" max="19" width="12.625" customWidth="1"/>
    <col min="20" max="20" width="50.625" customWidth="1"/>
    <col min="21" max="21" width="13.625" customWidth="1"/>
  </cols>
  <sheetData>
    <row r="1" spans="1:21" ht="19.05" x14ac:dyDescent="0.25">
      <c r="A1" s="1" t="s">
        <v>140</v>
      </c>
    </row>
    <row r="2" spans="1:21" x14ac:dyDescent="0.25">
      <c r="A2" s="2" t="s">
        <v>37</v>
      </c>
    </row>
    <row r="3" spans="1:21" ht="31.95" customHeight="1" x14ac:dyDescent="0.25">
      <c r="A3" s="3" t="s">
        <v>38</v>
      </c>
      <c r="C3" s="3" t="s">
        <v>39</v>
      </c>
      <c r="D3" s="3" t="s">
        <v>40</v>
      </c>
      <c r="E3" s="3" t="s">
        <v>41</v>
      </c>
      <c r="G3" s="3" t="s">
        <v>42</v>
      </c>
      <c r="H3" s="3" t="s">
        <v>40</v>
      </c>
      <c r="I3" s="3" t="s">
        <v>41</v>
      </c>
      <c r="K3" s="10" t="s">
        <v>39</v>
      </c>
      <c r="L3" s="10" t="s">
        <v>152</v>
      </c>
      <c r="M3" s="10" t="s">
        <v>153</v>
      </c>
      <c r="N3" s="10" t="s">
        <v>154</v>
      </c>
      <c r="O3" s="10" t="s">
        <v>155</v>
      </c>
      <c r="Q3" s="10" t="s">
        <v>43</v>
      </c>
      <c r="R3" s="10" t="s">
        <v>40</v>
      </c>
      <c r="S3" s="10" t="s">
        <v>41</v>
      </c>
      <c r="T3" s="10" t="s">
        <v>44</v>
      </c>
      <c r="U3" s="10" t="s">
        <v>45</v>
      </c>
    </row>
    <row r="4" spans="1:21" ht="18" customHeight="1" x14ac:dyDescent="0.25">
      <c r="A4" s="32" t="s">
        <v>46</v>
      </c>
      <c r="C4" s="11">
        <v>1</v>
      </c>
      <c r="D4">
        <v>10</v>
      </c>
      <c r="E4">
        <v>1</v>
      </c>
      <c r="G4" s="4" t="s">
        <v>143</v>
      </c>
      <c r="H4" s="14"/>
      <c r="I4" s="14"/>
      <c r="K4" s="15">
        <f t="shared" ref="K4:K35" si="0">C4</f>
        <v>1</v>
      </c>
      <c r="L4" s="22">
        <f t="shared" ref="L4:L35" si="1">(D4-$R$6)^2</f>
        <v>79.20999999999998</v>
      </c>
      <c r="M4" s="15">
        <f t="shared" ref="M4:M35" si="2">IF(AND(D4&gt;=$R$10,D4&lt;=$R$11),1,0)</f>
        <v>1</v>
      </c>
      <c r="N4" s="22">
        <f t="shared" ref="N4:N35" si="3">(E4-$S$6)^2</f>
        <v>84.639999999999986</v>
      </c>
      <c r="O4" s="15">
        <f t="shared" ref="O4:O35" si="4">IF(AND(E4&gt;=$S$10,E4&lt;=$S$11),1,0)</f>
        <v>0</v>
      </c>
      <c r="Q4" s="16" t="s">
        <v>156</v>
      </c>
    </row>
    <row r="5" spans="1:21" ht="18" customHeight="1" x14ac:dyDescent="0.25">
      <c r="A5" s="32"/>
      <c r="C5" s="11">
        <v>2</v>
      </c>
      <c r="D5">
        <v>11</v>
      </c>
      <c r="E5">
        <v>3</v>
      </c>
      <c r="G5" s="4" t="s">
        <v>144</v>
      </c>
      <c r="H5" s="14"/>
      <c r="I5" s="14"/>
      <c r="K5" s="15">
        <f t="shared" si="0"/>
        <v>2</v>
      </c>
      <c r="L5" s="22">
        <f t="shared" si="1"/>
        <v>62.409999999999975</v>
      </c>
      <c r="M5" s="15">
        <f t="shared" si="2"/>
        <v>1</v>
      </c>
      <c r="N5" s="22">
        <f t="shared" si="3"/>
        <v>51.839999999999989</v>
      </c>
      <c r="O5" s="15">
        <f t="shared" si="4"/>
        <v>0</v>
      </c>
      <c r="Q5" s="5" t="s">
        <v>63</v>
      </c>
      <c r="R5" s="17">
        <f>COUNT($D$4:$D$53)</f>
        <v>50</v>
      </c>
      <c r="S5" s="17">
        <f>COUNT($E$4:$E$53)</f>
        <v>50</v>
      </c>
      <c r="T5" s="5" t="s">
        <v>64</v>
      </c>
    </row>
    <row r="6" spans="1:21" ht="18" customHeight="1" x14ac:dyDescent="0.25">
      <c r="A6" s="32"/>
      <c r="C6" s="11">
        <v>3</v>
      </c>
      <c r="D6">
        <v>12</v>
      </c>
      <c r="E6">
        <v>4</v>
      </c>
      <c r="G6" s="4" t="s">
        <v>145</v>
      </c>
      <c r="H6" s="14"/>
      <c r="I6" s="14"/>
      <c r="K6" s="15">
        <f t="shared" si="0"/>
        <v>3</v>
      </c>
      <c r="L6" s="22">
        <f t="shared" si="1"/>
        <v>47.609999999999978</v>
      </c>
      <c r="M6" s="15">
        <f t="shared" si="2"/>
        <v>1</v>
      </c>
      <c r="N6" s="22">
        <f t="shared" si="3"/>
        <v>38.439999999999991</v>
      </c>
      <c r="O6" s="15">
        <f t="shared" si="4"/>
        <v>1</v>
      </c>
      <c r="Q6" s="5" t="s">
        <v>157</v>
      </c>
      <c r="R6" s="18">
        <f>SUM($D$4:$D$53)/$R$5</f>
        <v>18.899999999999999</v>
      </c>
      <c r="S6" s="18">
        <f>SUM($E$4:$E$53)/$S$5</f>
        <v>10.199999999999999</v>
      </c>
      <c r="T6" s="5" t="s">
        <v>158</v>
      </c>
    </row>
    <row r="7" spans="1:21" ht="18" customHeight="1" x14ac:dyDescent="0.25">
      <c r="A7" s="32"/>
      <c r="C7" s="11">
        <v>4</v>
      </c>
      <c r="D7">
        <v>15</v>
      </c>
      <c r="E7">
        <v>5</v>
      </c>
      <c r="G7" s="4" t="s">
        <v>146</v>
      </c>
      <c r="H7" s="14"/>
      <c r="I7" s="14"/>
      <c r="K7" s="15">
        <f t="shared" si="0"/>
        <v>4</v>
      </c>
      <c r="L7" s="22">
        <f t="shared" si="1"/>
        <v>15.209999999999988</v>
      </c>
      <c r="M7" s="15">
        <f t="shared" si="2"/>
        <v>1</v>
      </c>
      <c r="N7" s="22">
        <f t="shared" si="3"/>
        <v>27.039999999999992</v>
      </c>
      <c r="O7" s="15">
        <f t="shared" si="4"/>
        <v>1</v>
      </c>
      <c r="Q7" s="5" t="s">
        <v>159</v>
      </c>
      <c r="R7" s="18">
        <f>SUM($L$4:$L$53)</f>
        <v>990.49999999999989</v>
      </c>
      <c r="S7" s="18">
        <f>SUM($N$4:$N$53)</f>
        <v>568.00000000000011</v>
      </c>
      <c r="T7" s="5" t="s">
        <v>160</v>
      </c>
    </row>
    <row r="8" spans="1:21" ht="18" customHeight="1" x14ac:dyDescent="0.25">
      <c r="A8" s="32"/>
      <c r="C8" s="11">
        <v>5</v>
      </c>
      <c r="D8">
        <v>15</v>
      </c>
      <c r="E8">
        <v>5</v>
      </c>
      <c r="G8" s="4" t="s">
        <v>147</v>
      </c>
      <c r="H8" s="13"/>
      <c r="I8" s="13"/>
      <c r="K8" s="15">
        <f t="shared" si="0"/>
        <v>5</v>
      </c>
      <c r="L8" s="22">
        <f t="shared" si="1"/>
        <v>15.209999999999988</v>
      </c>
      <c r="M8" s="15">
        <f t="shared" si="2"/>
        <v>1</v>
      </c>
      <c r="N8" s="22">
        <f t="shared" si="3"/>
        <v>27.039999999999992</v>
      </c>
      <c r="O8" s="15">
        <f t="shared" si="4"/>
        <v>1</v>
      </c>
      <c r="Q8" s="5" t="s">
        <v>161</v>
      </c>
      <c r="R8" s="18">
        <f>SQRT($R$7/($R$5-1))</f>
        <v>4.4960299948160616</v>
      </c>
      <c r="S8" s="18">
        <f>SQRT($S$7/($S$5-1))</f>
        <v>3.4046786536608531</v>
      </c>
      <c r="T8" s="5" t="s">
        <v>162</v>
      </c>
    </row>
    <row r="9" spans="1:21" ht="18" customHeight="1" x14ac:dyDescent="0.25">
      <c r="A9" s="32"/>
      <c r="C9" s="11">
        <v>6</v>
      </c>
      <c r="D9">
        <v>15</v>
      </c>
      <c r="E9">
        <v>7</v>
      </c>
      <c r="G9" s="4" t="s">
        <v>148</v>
      </c>
      <c r="H9" s="23"/>
      <c r="I9" s="23"/>
      <c r="K9" s="15">
        <f t="shared" si="0"/>
        <v>6</v>
      </c>
      <c r="L9" s="22">
        <f t="shared" si="1"/>
        <v>15.209999999999988</v>
      </c>
      <c r="M9" s="15">
        <f t="shared" si="2"/>
        <v>1</v>
      </c>
      <c r="N9" s="22">
        <f t="shared" si="3"/>
        <v>10.239999999999995</v>
      </c>
      <c r="O9" s="15">
        <f t="shared" si="4"/>
        <v>1</v>
      </c>
      <c r="Q9" s="16" t="s">
        <v>163</v>
      </c>
    </row>
    <row r="10" spans="1:21" ht="18" customHeight="1" x14ac:dyDescent="0.25">
      <c r="C10" s="11">
        <v>7</v>
      </c>
      <c r="D10">
        <v>16</v>
      </c>
      <c r="E10">
        <v>7</v>
      </c>
      <c r="K10" s="15">
        <f t="shared" si="0"/>
        <v>7</v>
      </c>
      <c r="L10" s="22">
        <f t="shared" si="1"/>
        <v>8.4099999999999913</v>
      </c>
      <c r="M10" s="15">
        <f t="shared" si="2"/>
        <v>1</v>
      </c>
      <c r="N10" s="22">
        <f t="shared" si="3"/>
        <v>10.239999999999995</v>
      </c>
      <c r="O10" s="15">
        <f t="shared" si="4"/>
        <v>1</v>
      </c>
      <c r="Q10" s="5" t="s">
        <v>164</v>
      </c>
      <c r="R10" s="18">
        <f>$R$6-2*$R$8</f>
        <v>9.9079400103678754</v>
      </c>
      <c r="S10" s="18">
        <f>$S$6-2*$S$8</f>
        <v>3.3906426926782931</v>
      </c>
      <c r="T10" s="5" t="s">
        <v>165</v>
      </c>
    </row>
    <row r="11" spans="1:21" ht="18" customHeight="1" x14ac:dyDescent="0.25">
      <c r="A11" s="32" t="s">
        <v>141</v>
      </c>
      <c r="C11" s="11">
        <v>8</v>
      </c>
      <c r="D11">
        <v>16</v>
      </c>
      <c r="E11">
        <v>7</v>
      </c>
      <c r="K11" s="15">
        <f t="shared" si="0"/>
        <v>8</v>
      </c>
      <c r="L11" s="22">
        <f t="shared" si="1"/>
        <v>8.4099999999999913</v>
      </c>
      <c r="M11" s="15">
        <f t="shared" si="2"/>
        <v>1</v>
      </c>
      <c r="N11" s="22">
        <f t="shared" si="3"/>
        <v>10.239999999999995</v>
      </c>
      <c r="O11" s="15">
        <f t="shared" si="4"/>
        <v>1</v>
      </c>
      <c r="Q11" s="5" t="s">
        <v>166</v>
      </c>
      <c r="R11" s="18">
        <f>$R$6+2*$R$8</f>
        <v>27.892059989632124</v>
      </c>
      <c r="S11" s="18">
        <f>$S$6+2*$S$8</f>
        <v>17.009357307321707</v>
      </c>
      <c r="T11" s="5" t="s">
        <v>167</v>
      </c>
    </row>
    <row r="12" spans="1:21" ht="18" customHeight="1" x14ac:dyDescent="0.25">
      <c r="A12" s="32"/>
      <c r="C12" s="11">
        <v>9</v>
      </c>
      <c r="D12">
        <v>16</v>
      </c>
      <c r="E12">
        <v>7</v>
      </c>
      <c r="K12" s="15">
        <f t="shared" si="0"/>
        <v>9</v>
      </c>
      <c r="L12" s="22">
        <f t="shared" si="1"/>
        <v>8.4099999999999913</v>
      </c>
      <c r="M12" s="15">
        <f t="shared" si="2"/>
        <v>1</v>
      </c>
      <c r="N12" s="22">
        <f t="shared" si="3"/>
        <v>10.239999999999995</v>
      </c>
      <c r="O12" s="15">
        <f t="shared" si="4"/>
        <v>1</v>
      </c>
      <c r="Q12" s="5" t="s">
        <v>168</v>
      </c>
      <c r="R12" s="17">
        <f>SUM($M$4:$M$53)</f>
        <v>48</v>
      </c>
      <c r="S12" s="17">
        <f>SUM($O$4:$O$53)</f>
        <v>48</v>
      </c>
      <c r="T12" s="5" t="s">
        <v>124</v>
      </c>
    </row>
    <row r="13" spans="1:21" ht="18" customHeight="1" x14ac:dyDescent="0.25">
      <c r="A13" s="32"/>
      <c r="C13" s="11">
        <v>10</v>
      </c>
      <c r="D13">
        <v>16</v>
      </c>
      <c r="E13">
        <v>8</v>
      </c>
      <c r="K13" s="15">
        <f t="shared" si="0"/>
        <v>10</v>
      </c>
      <c r="L13" s="22">
        <f t="shared" si="1"/>
        <v>8.4099999999999913</v>
      </c>
      <c r="M13" s="15">
        <f t="shared" si="2"/>
        <v>1</v>
      </c>
      <c r="N13" s="22">
        <f t="shared" si="3"/>
        <v>4.8399999999999972</v>
      </c>
      <c r="O13" s="15">
        <f t="shared" si="4"/>
        <v>1</v>
      </c>
      <c r="Q13" s="5" t="s">
        <v>169</v>
      </c>
      <c r="R13" s="24">
        <f>$R$12/$R$5</f>
        <v>0.96</v>
      </c>
      <c r="S13" s="24">
        <f>$S$12/$S$5</f>
        <v>0.96</v>
      </c>
      <c r="T13" s="5" t="s">
        <v>170</v>
      </c>
    </row>
    <row r="14" spans="1:21" ht="18" customHeight="1" x14ac:dyDescent="0.25">
      <c r="A14" s="32"/>
      <c r="C14" s="11">
        <v>11</v>
      </c>
      <c r="D14">
        <v>17</v>
      </c>
      <c r="E14">
        <v>8</v>
      </c>
      <c r="K14" s="15">
        <f t="shared" si="0"/>
        <v>11</v>
      </c>
      <c r="L14" s="22">
        <f t="shared" si="1"/>
        <v>3.6099999999999945</v>
      </c>
      <c r="M14" s="15">
        <f t="shared" si="2"/>
        <v>1</v>
      </c>
      <c r="N14" s="22">
        <f t="shared" si="3"/>
        <v>4.8399999999999972</v>
      </c>
      <c r="O14" s="15">
        <f t="shared" si="4"/>
        <v>1</v>
      </c>
      <c r="Q14" s="16" t="s">
        <v>85</v>
      </c>
    </row>
    <row r="15" spans="1:21" ht="18" customHeight="1" x14ac:dyDescent="0.25">
      <c r="C15" s="11">
        <v>12</v>
      </c>
      <c r="D15">
        <v>17</v>
      </c>
      <c r="E15">
        <v>8</v>
      </c>
      <c r="K15" s="15">
        <f t="shared" si="0"/>
        <v>12</v>
      </c>
      <c r="L15" s="22">
        <f t="shared" si="1"/>
        <v>3.6099999999999945</v>
      </c>
      <c r="M15" s="15">
        <f t="shared" si="2"/>
        <v>1</v>
      </c>
      <c r="N15" s="22">
        <f t="shared" si="3"/>
        <v>4.8399999999999972</v>
      </c>
      <c r="O15" s="15">
        <f t="shared" si="4"/>
        <v>1</v>
      </c>
      <c r="Q15" s="5" t="s">
        <v>137</v>
      </c>
      <c r="R15" s="20">
        <f>_xlfn.STDEV.S($D$4:$D$53)</f>
        <v>4.4960299948160616</v>
      </c>
      <c r="S15" s="20">
        <f>_xlfn.STDEV.S($E$4:$E$53)</f>
        <v>3.4046786536608531</v>
      </c>
      <c r="T15" s="5" t="s">
        <v>138</v>
      </c>
      <c r="U15" s="21" t="str">
        <f>IF(AND(ABS(R15-$R$8)&lt;0.000001,ABS(S15-$S$8)&lt;0.000001),"ano","ne")</f>
        <v>ano</v>
      </c>
    </row>
    <row r="16" spans="1:21" ht="18" customHeight="1" x14ac:dyDescent="0.25">
      <c r="A16" s="34" t="s">
        <v>48</v>
      </c>
      <c r="C16" s="11">
        <v>13</v>
      </c>
      <c r="D16">
        <v>17</v>
      </c>
      <c r="E16">
        <v>8</v>
      </c>
      <c r="K16" s="15">
        <f t="shared" si="0"/>
        <v>13</v>
      </c>
      <c r="L16" s="22">
        <f t="shared" si="1"/>
        <v>3.6099999999999945</v>
      </c>
      <c r="M16" s="15">
        <f t="shared" si="2"/>
        <v>1</v>
      </c>
      <c r="N16" s="22">
        <f t="shared" si="3"/>
        <v>4.8399999999999972</v>
      </c>
      <c r="O16" s="15">
        <f t="shared" si="4"/>
        <v>1</v>
      </c>
      <c r="Q16" s="5" t="s">
        <v>171</v>
      </c>
      <c r="R16" s="19">
        <f>COUNTIFS($D$4:$D$53,"&gt;="&amp;$R$10,$D$4:$D$53,"&lt;="&amp;$R$11)</f>
        <v>48</v>
      </c>
      <c r="S16" s="19">
        <f>COUNTIFS($E$4:$E$53,"&gt;="&amp;$S$10,$E$4:$E$53,"&lt;="&amp;$S$11)</f>
        <v>48</v>
      </c>
      <c r="T16" s="5" t="s">
        <v>172</v>
      </c>
      <c r="U16" s="21" t="str">
        <f>IF(AND(ABS(R16-$R$12)&lt;0.000001,ABS(S16-$S$12)&lt;0.000001),"ano","ne")</f>
        <v>ano</v>
      </c>
    </row>
    <row r="17" spans="1:20" ht="18" customHeight="1" x14ac:dyDescent="0.25">
      <c r="A17" s="32"/>
      <c r="C17" s="11">
        <v>14</v>
      </c>
      <c r="D17">
        <v>17</v>
      </c>
      <c r="E17">
        <v>9</v>
      </c>
      <c r="K17" s="15">
        <f t="shared" si="0"/>
        <v>14</v>
      </c>
      <c r="L17" s="22">
        <f t="shared" si="1"/>
        <v>3.6099999999999945</v>
      </c>
      <c r="M17" s="15">
        <f t="shared" si="2"/>
        <v>1</v>
      </c>
      <c r="N17" s="22">
        <f t="shared" si="3"/>
        <v>1.4399999999999984</v>
      </c>
      <c r="O17" s="15">
        <f t="shared" si="4"/>
        <v>1</v>
      </c>
    </row>
    <row r="18" spans="1:20" ht="18" customHeight="1" x14ac:dyDescent="0.25">
      <c r="A18" s="32"/>
      <c r="C18" s="11">
        <v>15</v>
      </c>
      <c r="D18">
        <v>17</v>
      </c>
      <c r="E18">
        <v>9</v>
      </c>
      <c r="K18" s="15">
        <f t="shared" si="0"/>
        <v>15</v>
      </c>
      <c r="L18" s="22">
        <f t="shared" si="1"/>
        <v>3.6099999999999945</v>
      </c>
      <c r="M18" s="15">
        <f t="shared" si="2"/>
        <v>1</v>
      </c>
      <c r="N18" s="22">
        <f t="shared" si="3"/>
        <v>1.4399999999999984</v>
      </c>
      <c r="O18" s="15">
        <f t="shared" si="4"/>
        <v>1</v>
      </c>
      <c r="Q18" s="33" t="s">
        <v>92</v>
      </c>
      <c r="R18" s="33"/>
      <c r="S18" s="33"/>
      <c r="T18" s="33"/>
    </row>
    <row r="19" spans="1:20" ht="18" customHeight="1" x14ac:dyDescent="0.25">
      <c r="C19" s="11">
        <v>16</v>
      </c>
      <c r="D19">
        <v>17</v>
      </c>
      <c r="E19">
        <v>9</v>
      </c>
      <c r="K19" s="15">
        <f t="shared" si="0"/>
        <v>16</v>
      </c>
      <c r="L19" s="22">
        <f t="shared" si="1"/>
        <v>3.6099999999999945</v>
      </c>
      <c r="M19" s="15">
        <f t="shared" si="2"/>
        <v>1</v>
      </c>
      <c r="N19" s="22">
        <f t="shared" si="3"/>
        <v>1.4399999999999984</v>
      </c>
      <c r="O19" s="15">
        <f t="shared" si="4"/>
        <v>1</v>
      </c>
      <c r="Q19" s="32" t="s">
        <v>173</v>
      </c>
      <c r="R19" s="32"/>
      <c r="S19" s="32"/>
      <c r="T19" s="32"/>
    </row>
    <row r="20" spans="1:20" ht="18" customHeight="1" x14ac:dyDescent="0.25">
      <c r="A20" s="35" t="s">
        <v>142</v>
      </c>
      <c r="C20" s="11">
        <v>17</v>
      </c>
      <c r="D20">
        <v>18</v>
      </c>
      <c r="E20">
        <v>9</v>
      </c>
      <c r="K20" s="15">
        <f t="shared" si="0"/>
        <v>17</v>
      </c>
      <c r="L20" s="22">
        <f t="shared" si="1"/>
        <v>0.80999999999999739</v>
      </c>
      <c r="M20" s="15">
        <f t="shared" si="2"/>
        <v>1</v>
      </c>
      <c r="N20" s="22">
        <f t="shared" si="3"/>
        <v>1.4399999999999984</v>
      </c>
      <c r="O20" s="15">
        <f t="shared" si="4"/>
        <v>1</v>
      </c>
      <c r="Q20" s="32"/>
      <c r="R20" s="32"/>
      <c r="S20" s="32"/>
      <c r="T20" s="32"/>
    </row>
    <row r="21" spans="1:20" ht="18" customHeight="1" x14ac:dyDescent="0.25">
      <c r="A21" s="32"/>
      <c r="C21" s="11">
        <v>18</v>
      </c>
      <c r="D21">
        <v>18</v>
      </c>
      <c r="E21">
        <v>9</v>
      </c>
      <c r="K21" s="15">
        <f t="shared" si="0"/>
        <v>18</v>
      </c>
      <c r="L21" s="22">
        <f t="shared" si="1"/>
        <v>0.80999999999999739</v>
      </c>
      <c r="M21" s="15">
        <f t="shared" si="2"/>
        <v>1</v>
      </c>
      <c r="N21" s="22">
        <f t="shared" si="3"/>
        <v>1.4399999999999984</v>
      </c>
      <c r="O21" s="15">
        <f t="shared" si="4"/>
        <v>1</v>
      </c>
      <c r="Q21" s="32"/>
      <c r="R21" s="32"/>
      <c r="S21" s="32"/>
      <c r="T21" s="32"/>
    </row>
    <row r="22" spans="1:20" ht="18" customHeight="1" x14ac:dyDescent="0.25">
      <c r="C22" s="11">
        <v>19</v>
      </c>
      <c r="D22">
        <v>18</v>
      </c>
      <c r="E22">
        <v>9</v>
      </c>
      <c r="K22" s="15">
        <f t="shared" si="0"/>
        <v>19</v>
      </c>
      <c r="L22" s="22">
        <f t="shared" si="1"/>
        <v>0.80999999999999739</v>
      </c>
      <c r="M22" s="15">
        <f t="shared" si="2"/>
        <v>1</v>
      </c>
      <c r="N22" s="22">
        <f t="shared" si="3"/>
        <v>1.4399999999999984</v>
      </c>
      <c r="O22" s="15">
        <f t="shared" si="4"/>
        <v>1</v>
      </c>
      <c r="Q22" s="32"/>
      <c r="R22" s="32"/>
      <c r="S22" s="32"/>
      <c r="T22" s="32"/>
    </row>
    <row r="23" spans="1:20" ht="18" customHeight="1" x14ac:dyDescent="0.25">
      <c r="C23" s="11">
        <v>20</v>
      </c>
      <c r="D23">
        <v>18</v>
      </c>
      <c r="E23">
        <v>9</v>
      </c>
      <c r="K23" s="15">
        <f t="shared" si="0"/>
        <v>20</v>
      </c>
      <c r="L23" s="22">
        <f t="shared" si="1"/>
        <v>0.80999999999999739</v>
      </c>
      <c r="M23" s="15">
        <f t="shared" si="2"/>
        <v>1</v>
      </c>
      <c r="N23" s="22">
        <f t="shared" si="3"/>
        <v>1.4399999999999984</v>
      </c>
      <c r="O23" s="15">
        <f t="shared" si="4"/>
        <v>1</v>
      </c>
      <c r="Q23" s="32"/>
      <c r="R23" s="32"/>
      <c r="S23" s="32"/>
      <c r="T23" s="32"/>
    </row>
    <row r="24" spans="1:20" ht="18" customHeight="1" x14ac:dyDescent="0.25">
      <c r="C24" s="11">
        <v>21</v>
      </c>
      <c r="D24">
        <v>18</v>
      </c>
      <c r="E24">
        <v>10</v>
      </c>
      <c r="K24" s="15">
        <f t="shared" si="0"/>
        <v>21</v>
      </c>
      <c r="L24" s="22">
        <f t="shared" si="1"/>
        <v>0.80999999999999739</v>
      </c>
      <c r="M24" s="15">
        <f t="shared" si="2"/>
        <v>1</v>
      </c>
      <c r="N24" s="22">
        <f t="shared" si="3"/>
        <v>3.9999999999999716E-2</v>
      </c>
      <c r="O24" s="15">
        <f t="shared" si="4"/>
        <v>1</v>
      </c>
      <c r="Q24" s="32"/>
      <c r="R24" s="32"/>
      <c r="S24" s="32"/>
      <c r="T24" s="32"/>
    </row>
    <row r="25" spans="1:20" ht="18" customHeight="1" x14ac:dyDescent="0.25">
      <c r="A25" s="10" t="s">
        <v>55</v>
      </c>
      <c r="C25" s="11">
        <v>22</v>
      </c>
      <c r="D25">
        <v>18</v>
      </c>
      <c r="E25">
        <v>10</v>
      </c>
      <c r="K25" s="15">
        <f t="shared" si="0"/>
        <v>22</v>
      </c>
      <c r="L25" s="22">
        <f t="shared" si="1"/>
        <v>0.80999999999999739</v>
      </c>
      <c r="M25" s="15">
        <f t="shared" si="2"/>
        <v>1</v>
      </c>
      <c r="N25" s="22">
        <f t="shared" si="3"/>
        <v>3.9999999999999716E-2</v>
      </c>
      <c r="O25" s="15">
        <f t="shared" si="4"/>
        <v>1</v>
      </c>
      <c r="Q25" s="32"/>
      <c r="R25" s="32"/>
      <c r="S25" s="32"/>
      <c r="T25" s="32"/>
    </row>
    <row r="26" spans="1:20" ht="18" customHeight="1" x14ac:dyDescent="0.25">
      <c r="C26" s="11">
        <v>23</v>
      </c>
      <c r="D26">
        <v>18</v>
      </c>
      <c r="E26">
        <v>10</v>
      </c>
      <c r="K26" s="15">
        <f t="shared" si="0"/>
        <v>23</v>
      </c>
      <c r="L26" s="22">
        <f t="shared" si="1"/>
        <v>0.80999999999999739</v>
      </c>
      <c r="M26" s="15">
        <f t="shared" si="2"/>
        <v>1</v>
      </c>
      <c r="N26" s="22">
        <f t="shared" si="3"/>
        <v>3.9999999999999716E-2</v>
      </c>
      <c r="O26" s="15">
        <f t="shared" si="4"/>
        <v>1</v>
      </c>
      <c r="Q26" s="32"/>
      <c r="R26" s="32"/>
      <c r="S26" s="32"/>
      <c r="T26" s="32"/>
    </row>
    <row r="27" spans="1:20" ht="18" customHeight="1" x14ac:dyDescent="0.25">
      <c r="C27" s="11">
        <v>24</v>
      </c>
      <c r="D27">
        <v>18</v>
      </c>
      <c r="E27">
        <v>10</v>
      </c>
      <c r="K27" s="15">
        <f t="shared" si="0"/>
        <v>24</v>
      </c>
      <c r="L27" s="22">
        <f t="shared" si="1"/>
        <v>0.80999999999999739</v>
      </c>
      <c r="M27" s="15">
        <f t="shared" si="2"/>
        <v>1</v>
      </c>
      <c r="N27" s="22">
        <f t="shared" si="3"/>
        <v>3.9999999999999716E-2</v>
      </c>
      <c r="O27" s="15">
        <f t="shared" si="4"/>
        <v>1</v>
      </c>
      <c r="Q27" s="32"/>
      <c r="R27" s="32"/>
      <c r="S27" s="32"/>
      <c r="T27" s="32"/>
    </row>
    <row r="28" spans="1:20" ht="18" customHeight="1" x14ac:dyDescent="0.25">
      <c r="C28" s="11">
        <v>25</v>
      </c>
      <c r="D28">
        <v>18</v>
      </c>
      <c r="E28">
        <v>10</v>
      </c>
      <c r="K28" s="15">
        <f t="shared" si="0"/>
        <v>25</v>
      </c>
      <c r="L28" s="22">
        <f t="shared" si="1"/>
        <v>0.80999999999999739</v>
      </c>
      <c r="M28" s="15">
        <f t="shared" si="2"/>
        <v>1</v>
      </c>
      <c r="N28" s="22">
        <f t="shared" si="3"/>
        <v>3.9999999999999716E-2</v>
      </c>
      <c r="O28" s="15">
        <f t="shared" si="4"/>
        <v>1</v>
      </c>
      <c r="Q28" s="32"/>
      <c r="R28" s="32"/>
      <c r="S28" s="32"/>
      <c r="T28" s="32"/>
    </row>
    <row r="29" spans="1:20" ht="18" customHeight="1" x14ac:dyDescent="0.25">
      <c r="A29" s="35" t="s">
        <v>149</v>
      </c>
      <c r="C29" s="11">
        <v>26</v>
      </c>
      <c r="D29">
        <v>18</v>
      </c>
      <c r="E29">
        <v>10</v>
      </c>
      <c r="K29" s="15">
        <f t="shared" si="0"/>
        <v>26</v>
      </c>
      <c r="L29" s="22">
        <f t="shared" si="1"/>
        <v>0.80999999999999739</v>
      </c>
      <c r="M29" s="15">
        <f t="shared" si="2"/>
        <v>1</v>
      </c>
      <c r="N29" s="22">
        <f t="shared" si="3"/>
        <v>3.9999999999999716E-2</v>
      </c>
      <c r="O29" s="15">
        <f t="shared" si="4"/>
        <v>1</v>
      </c>
      <c r="Q29" s="32"/>
      <c r="R29" s="32"/>
      <c r="S29" s="32"/>
      <c r="T29" s="32"/>
    </row>
    <row r="30" spans="1:20" ht="18" customHeight="1" x14ac:dyDescent="0.25">
      <c r="A30" s="32"/>
      <c r="C30" s="11">
        <v>27</v>
      </c>
      <c r="D30">
        <v>19</v>
      </c>
      <c r="E30">
        <v>10</v>
      </c>
      <c r="K30" s="15">
        <f t="shared" si="0"/>
        <v>27</v>
      </c>
      <c r="L30" s="22">
        <f t="shared" si="1"/>
        <v>1.0000000000000285E-2</v>
      </c>
      <c r="M30" s="15">
        <f t="shared" si="2"/>
        <v>1</v>
      </c>
      <c r="N30" s="22">
        <f t="shared" si="3"/>
        <v>3.9999999999999716E-2</v>
      </c>
      <c r="O30" s="15">
        <f t="shared" si="4"/>
        <v>1</v>
      </c>
      <c r="Q30" s="32"/>
      <c r="R30" s="32"/>
      <c r="S30" s="32"/>
      <c r="T30" s="32"/>
    </row>
    <row r="31" spans="1:20" ht="18" customHeight="1" x14ac:dyDescent="0.25">
      <c r="C31" s="11">
        <v>28</v>
      </c>
      <c r="D31">
        <v>19</v>
      </c>
      <c r="E31">
        <v>10</v>
      </c>
      <c r="K31" s="15">
        <f t="shared" si="0"/>
        <v>28</v>
      </c>
      <c r="L31" s="22">
        <f t="shared" si="1"/>
        <v>1.0000000000000285E-2</v>
      </c>
      <c r="M31" s="15">
        <f t="shared" si="2"/>
        <v>1</v>
      </c>
      <c r="N31" s="22">
        <f t="shared" si="3"/>
        <v>3.9999999999999716E-2</v>
      </c>
      <c r="O31" s="15">
        <f t="shared" si="4"/>
        <v>1</v>
      </c>
      <c r="Q31" s="32"/>
      <c r="R31" s="32"/>
      <c r="S31" s="32"/>
      <c r="T31" s="32"/>
    </row>
    <row r="32" spans="1:20" ht="18" customHeight="1" x14ac:dyDescent="0.25">
      <c r="C32" s="11">
        <v>29</v>
      </c>
      <c r="D32">
        <v>19</v>
      </c>
      <c r="E32">
        <v>11</v>
      </c>
      <c r="K32" s="15">
        <f t="shared" si="0"/>
        <v>29</v>
      </c>
      <c r="L32" s="22">
        <f t="shared" si="1"/>
        <v>1.0000000000000285E-2</v>
      </c>
      <c r="M32" s="15">
        <f t="shared" si="2"/>
        <v>1</v>
      </c>
      <c r="N32" s="22">
        <f t="shared" si="3"/>
        <v>0.64000000000000112</v>
      </c>
      <c r="O32" s="15">
        <f t="shared" si="4"/>
        <v>1</v>
      </c>
    </row>
    <row r="33" spans="1:15" ht="18" customHeight="1" x14ac:dyDescent="0.25">
      <c r="C33" s="11">
        <v>30</v>
      </c>
      <c r="D33">
        <v>19</v>
      </c>
      <c r="E33">
        <v>11</v>
      </c>
      <c r="K33" s="15">
        <f t="shared" si="0"/>
        <v>30</v>
      </c>
      <c r="L33" s="22">
        <f t="shared" si="1"/>
        <v>1.0000000000000285E-2</v>
      </c>
      <c r="M33" s="15">
        <f t="shared" si="2"/>
        <v>1</v>
      </c>
      <c r="N33" s="22">
        <f t="shared" si="3"/>
        <v>0.64000000000000112</v>
      </c>
      <c r="O33" s="15">
        <f t="shared" si="4"/>
        <v>1</v>
      </c>
    </row>
    <row r="34" spans="1:15" ht="18" customHeight="1" x14ac:dyDescent="0.25">
      <c r="C34" s="11">
        <v>31</v>
      </c>
      <c r="D34">
        <v>19</v>
      </c>
      <c r="E34">
        <v>11</v>
      </c>
      <c r="K34" s="15">
        <f t="shared" si="0"/>
        <v>31</v>
      </c>
      <c r="L34" s="22">
        <f t="shared" si="1"/>
        <v>1.0000000000000285E-2</v>
      </c>
      <c r="M34" s="15">
        <f t="shared" si="2"/>
        <v>1</v>
      </c>
      <c r="N34" s="22">
        <f t="shared" si="3"/>
        <v>0.64000000000000112</v>
      </c>
      <c r="O34" s="15">
        <f t="shared" si="4"/>
        <v>1</v>
      </c>
    </row>
    <row r="35" spans="1:15" ht="18" customHeight="1" x14ac:dyDescent="0.25">
      <c r="A35" s="35" t="s">
        <v>150</v>
      </c>
      <c r="C35" s="11">
        <v>32</v>
      </c>
      <c r="D35">
        <v>19</v>
      </c>
      <c r="E35">
        <v>11</v>
      </c>
      <c r="K35" s="15">
        <f t="shared" si="0"/>
        <v>32</v>
      </c>
      <c r="L35" s="22">
        <f t="shared" si="1"/>
        <v>1.0000000000000285E-2</v>
      </c>
      <c r="M35" s="15">
        <f t="shared" si="2"/>
        <v>1</v>
      </c>
      <c r="N35" s="22">
        <f t="shared" si="3"/>
        <v>0.64000000000000112</v>
      </c>
      <c r="O35" s="15">
        <f t="shared" si="4"/>
        <v>1</v>
      </c>
    </row>
    <row r="36" spans="1:15" ht="18" customHeight="1" x14ac:dyDescent="0.25">
      <c r="A36" s="32"/>
      <c r="C36" s="11">
        <v>33</v>
      </c>
      <c r="D36">
        <v>19</v>
      </c>
      <c r="E36">
        <v>11</v>
      </c>
      <c r="K36" s="15">
        <f t="shared" ref="K36:K53" si="5">C36</f>
        <v>33</v>
      </c>
      <c r="L36" s="22">
        <f t="shared" ref="L36:L53" si="6">(D36-$R$6)^2</f>
        <v>1.0000000000000285E-2</v>
      </c>
      <c r="M36" s="15">
        <f t="shared" ref="M36:M53" si="7">IF(AND(D36&gt;=$R$10,D36&lt;=$R$11),1,0)</f>
        <v>1</v>
      </c>
      <c r="N36" s="22">
        <f t="shared" ref="N36:N53" si="8">(E36-$S$6)^2</f>
        <v>0.64000000000000112</v>
      </c>
      <c r="O36" s="15">
        <f t="shared" ref="O36:O53" si="9">IF(AND(E36&gt;=$S$10,E36&lt;=$S$11),1,0)</f>
        <v>1</v>
      </c>
    </row>
    <row r="37" spans="1:15" ht="18" customHeight="1" x14ac:dyDescent="0.25">
      <c r="C37" s="11">
        <v>34</v>
      </c>
      <c r="D37">
        <v>20</v>
      </c>
      <c r="E37">
        <v>11</v>
      </c>
      <c r="K37" s="15">
        <f t="shared" si="5"/>
        <v>34</v>
      </c>
      <c r="L37" s="22">
        <f t="shared" si="6"/>
        <v>1.2100000000000031</v>
      </c>
      <c r="M37" s="15">
        <f t="shared" si="7"/>
        <v>1</v>
      </c>
      <c r="N37" s="22">
        <f t="shared" si="8"/>
        <v>0.64000000000000112</v>
      </c>
      <c r="O37" s="15">
        <f t="shared" si="9"/>
        <v>1</v>
      </c>
    </row>
    <row r="38" spans="1:15" ht="18" customHeight="1" x14ac:dyDescent="0.25">
      <c r="C38" s="11">
        <v>35</v>
      </c>
      <c r="D38">
        <v>20</v>
      </c>
      <c r="E38">
        <v>12</v>
      </c>
      <c r="K38" s="15">
        <f t="shared" si="5"/>
        <v>35</v>
      </c>
      <c r="L38" s="22">
        <f t="shared" si="6"/>
        <v>1.2100000000000031</v>
      </c>
      <c r="M38" s="15">
        <f t="shared" si="7"/>
        <v>1</v>
      </c>
      <c r="N38" s="22">
        <f t="shared" si="8"/>
        <v>3.2400000000000024</v>
      </c>
      <c r="O38" s="15">
        <f t="shared" si="9"/>
        <v>1</v>
      </c>
    </row>
    <row r="39" spans="1:15" ht="18" customHeight="1" x14ac:dyDescent="0.25">
      <c r="C39" s="11">
        <v>36</v>
      </c>
      <c r="D39">
        <v>20</v>
      </c>
      <c r="E39">
        <v>12</v>
      </c>
      <c r="K39" s="15">
        <f t="shared" si="5"/>
        <v>36</v>
      </c>
      <c r="L39" s="22">
        <f t="shared" si="6"/>
        <v>1.2100000000000031</v>
      </c>
      <c r="M39" s="15">
        <f t="shared" si="7"/>
        <v>1</v>
      </c>
      <c r="N39" s="22">
        <f t="shared" si="8"/>
        <v>3.2400000000000024</v>
      </c>
      <c r="O39" s="15">
        <f t="shared" si="9"/>
        <v>1</v>
      </c>
    </row>
    <row r="40" spans="1:15" ht="18" customHeight="1" x14ac:dyDescent="0.25">
      <c r="C40" s="11">
        <v>37</v>
      </c>
      <c r="D40">
        <v>20</v>
      </c>
      <c r="E40">
        <v>12</v>
      </c>
      <c r="K40" s="15">
        <f t="shared" si="5"/>
        <v>37</v>
      </c>
      <c r="L40" s="22">
        <f t="shared" si="6"/>
        <v>1.2100000000000031</v>
      </c>
      <c r="M40" s="15">
        <f t="shared" si="7"/>
        <v>1</v>
      </c>
      <c r="N40" s="22">
        <f t="shared" si="8"/>
        <v>3.2400000000000024</v>
      </c>
      <c r="O40" s="15">
        <f t="shared" si="9"/>
        <v>1</v>
      </c>
    </row>
    <row r="41" spans="1:15" ht="18" customHeight="1" x14ac:dyDescent="0.25">
      <c r="A41" s="12" t="s">
        <v>151</v>
      </c>
      <c r="C41" s="11">
        <v>38</v>
      </c>
      <c r="D41">
        <v>20</v>
      </c>
      <c r="E41">
        <v>12</v>
      </c>
      <c r="K41" s="15">
        <f t="shared" si="5"/>
        <v>38</v>
      </c>
      <c r="L41" s="22">
        <f t="shared" si="6"/>
        <v>1.2100000000000031</v>
      </c>
      <c r="M41" s="15">
        <f t="shared" si="7"/>
        <v>1</v>
      </c>
      <c r="N41" s="22">
        <f t="shared" si="8"/>
        <v>3.2400000000000024</v>
      </c>
      <c r="O41" s="15">
        <f t="shared" si="9"/>
        <v>1</v>
      </c>
    </row>
    <row r="42" spans="1:15" ht="18" customHeight="1" x14ac:dyDescent="0.25">
      <c r="C42" s="11">
        <v>39</v>
      </c>
      <c r="D42">
        <v>20</v>
      </c>
      <c r="E42">
        <v>12</v>
      </c>
      <c r="K42" s="15">
        <f t="shared" si="5"/>
        <v>39</v>
      </c>
      <c r="L42" s="22">
        <f t="shared" si="6"/>
        <v>1.2100000000000031</v>
      </c>
      <c r="M42" s="15">
        <f t="shared" si="7"/>
        <v>1</v>
      </c>
      <c r="N42" s="22">
        <f t="shared" si="8"/>
        <v>3.2400000000000024</v>
      </c>
      <c r="O42" s="15">
        <f t="shared" si="9"/>
        <v>1</v>
      </c>
    </row>
    <row r="43" spans="1:15" ht="18" customHeight="1" x14ac:dyDescent="0.25">
      <c r="C43" s="11">
        <v>40</v>
      </c>
      <c r="D43">
        <v>20</v>
      </c>
      <c r="E43">
        <v>13</v>
      </c>
      <c r="K43" s="15">
        <f t="shared" si="5"/>
        <v>40</v>
      </c>
      <c r="L43" s="22">
        <f t="shared" si="6"/>
        <v>1.2100000000000031</v>
      </c>
      <c r="M43" s="15">
        <f t="shared" si="7"/>
        <v>1</v>
      </c>
      <c r="N43" s="22">
        <f t="shared" si="8"/>
        <v>7.8400000000000043</v>
      </c>
      <c r="O43" s="15">
        <f t="shared" si="9"/>
        <v>1</v>
      </c>
    </row>
    <row r="44" spans="1:15" ht="18" customHeight="1" x14ac:dyDescent="0.25">
      <c r="C44" s="11">
        <v>41</v>
      </c>
      <c r="D44">
        <v>21</v>
      </c>
      <c r="E44">
        <v>14</v>
      </c>
      <c r="K44" s="15">
        <f t="shared" si="5"/>
        <v>41</v>
      </c>
      <c r="L44" s="22">
        <f t="shared" si="6"/>
        <v>4.4100000000000064</v>
      </c>
      <c r="M44" s="15">
        <f t="shared" si="7"/>
        <v>1</v>
      </c>
      <c r="N44" s="22">
        <f t="shared" si="8"/>
        <v>14.440000000000005</v>
      </c>
      <c r="O44" s="15">
        <f t="shared" si="9"/>
        <v>1</v>
      </c>
    </row>
    <row r="45" spans="1:15" ht="18" customHeight="1" x14ac:dyDescent="0.25">
      <c r="C45" s="11">
        <v>42</v>
      </c>
      <c r="D45">
        <v>21</v>
      </c>
      <c r="E45">
        <v>14</v>
      </c>
      <c r="K45" s="15">
        <f t="shared" si="5"/>
        <v>42</v>
      </c>
      <c r="L45" s="22">
        <f t="shared" si="6"/>
        <v>4.4100000000000064</v>
      </c>
      <c r="M45" s="15">
        <f t="shared" si="7"/>
        <v>1</v>
      </c>
      <c r="N45" s="22">
        <f t="shared" si="8"/>
        <v>14.440000000000005</v>
      </c>
      <c r="O45" s="15">
        <f t="shared" si="9"/>
        <v>1</v>
      </c>
    </row>
    <row r="46" spans="1:15" ht="18" customHeight="1" x14ac:dyDescent="0.25">
      <c r="C46" s="11">
        <v>43</v>
      </c>
      <c r="D46">
        <v>21</v>
      </c>
      <c r="E46">
        <v>14</v>
      </c>
      <c r="K46" s="15">
        <f t="shared" si="5"/>
        <v>43</v>
      </c>
      <c r="L46" s="22">
        <f t="shared" si="6"/>
        <v>4.4100000000000064</v>
      </c>
      <c r="M46" s="15">
        <f t="shared" si="7"/>
        <v>1</v>
      </c>
      <c r="N46" s="22">
        <f t="shared" si="8"/>
        <v>14.440000000000005</v>
      </c>
      <c r="O46" s="15">
        <f t="shared" si="9"/>
        <v>1</v>
      </c>
    </row>
    <row r="47" spans="1:15" ht="18" customHeight="1" x14ac:dyDescent="0.25">
      <c r="C47" s="11">
        <v>44</v>
      </c>
      <c r="D47">
        <v>22</v>
      </c>
      <c r="E47">
        <v>14</v>
      </c>
      <c r="K47" s="15">
        <f t="shared" si="5"/>
        <v>44</v>
      </c>
      <c r="L47" s="22">
        <f t="shared" si="6"/>
        <v>9.6100000000000083</v>
      </c>
      <c r="M47" s="15">
        <f t="shared" si="7"/>
        <v>1</v>
      </c>
      <c r="N47" s="22">
        <f t="shared" si="8"/>
        <v>14.440000000000005</v>
      </c>
      <c r="O47" s="15">
        <f t="shared" si="9"/>
        <v>1</v>
      </c>
    </row>
    <row r="48" spans="1:15" ht="18" customHeight="1" x14ac:dyDescent="0.25">
      <c r="C48" s="11">
        <v>45</v>
      </c>
      <c r="D48">
        <v>22</v>
      </c>
      <c r="E48">
        <v>15</v>
      </c>
      <c r="K48" s="15">
        <f t="shared" si="5"/>
        <v>45</v>
      </c>
      <c r="L48" s="22">
        <f t="shared" si="6"/>
        <v>9.6100000000000083</v>
      </c>
      <c r="M48" s="15">
        <f t="shared" si="7"/>
        <v>1</v>
      </c>
      <c r="N48" s="22">
        <f t="shared" si="8"/>
        <v>23.040000000000006</v>
      </c>
      <c r="O48" s="15">
        <f t="shared" si="9"/>
        <v>1</v>
      </c>
    </row>
    <row r="49" spans="3:15" ht="18" customHeight="1" x14ac:dyDescent="0.25">
      <c r="C49" s="11">
        <v>46</v>
      </c>
      <c r="D49">
        <v>23</v>
      </c>
      <c r="E49">
        <v>15</v>
      </c>
      <c r="K49" s="15">
        <f t="shared" si="5"/>
        <v>46</v>
      </c>
      <c r="L49" s="22">
        <f t="shared" si="6"/>
        <v>16.810000000000013</v>
      </c>
      <c r="M49" s="15">
        <f t="shared" si="7"/>
        <v>1</v>
      </c>
      <c r="N49" s="22">
        <f t="shared" si="8"/>
        <v>23.040000000000006</v>
      </c>
      <c r="O49" s="15">
        <f t="shared" si="9"/>
        <v>1</v>
      </c>
    </row>
    <row r="50" spans="3:15" ht="18" customHeight="1" x14ac:dyDescent="0.25">
      <c r="C50" s="11">
        <v>47</v>
      </c>
      <c r="D50">
        <v>23</v>
      </c>
      <c r="E50">
        <v>15</v>
      </c>
      <c r="K50" s="15">
        <f t="shared" si="5"/>
        <v>47</v>
      </c>
      <c r="L50" s="22">
        <f t="shared" si="6"/>
        <v>16.810000000000013</v>
      </c>
      <c r="M50" s="15">
        <f t="shared" si="7"/>
        <v>1</v>
      </c>
      <c r="N50" s="22">
        <f t="shared" si="8"/>
        <v>23.040000000000006</v>
      </c>
      <c r="O50" s="15">
        <f t="shared" si="9"/>
        <v>1</v>
      </c>
    </row>
    <row r="51" spans="3:15" ht="18" customHeight="1" x14ac:dyDescent="0.25">
      <c r="C51" s="11">
        <v>48</v>
      </c>
      <c r="D51">
        <v>24</v>
      </c>
      <c r="E51">
        <v>16</v>
      </c>
      <c r="K51" s="15">
        <f t="shared" si="5"/>
        <v>48</v>
      </c>
      <c r="L51" s="22">
        <f t="shared" si="6"/>
        <v>26.010000000000016</v>
      </c>
      <c r="M51" s="15">
        <f t="shared" si="7"/>
        <v>1</v>
      </c>
      <c r="N51" s="22">
        <f t="shared" si="8"/>
        <v>33.640000000000008</v>
      </c>
      <c r="O51" s="15">
        <f t="shared" si="9"/>
        <v>1</v>
      </c>
    </row>
    <row r="52" spans="3:15" ht="18" customHeight="1" x14ac:dyDescent="0.25">
      <c r="C52" s="11">
        <v>49</v>
      </c>
      <c r="D52">
        <v>31</v>
      </c>
      <c r="E52">
        <v>16</v>
      </c>
      <c r="K52" s="15">
        <f t="shared" si="5"/>
        <v>49</v>
      </c>
      <c r="L52" s="22">
        <f t="shared" si="6"/>
        <v>146.41000000000003</v>
      </c>
      <c r="M52" s="15">
        <f t="shared" si="7"/>
        <v>0</v>
      </c>
      <c r="N52" s="22">
        <f t="shared" si="8"/>
        <v>33.640000000000008</v>
      </c>
      <c r="O52" s="15">
        <f t="shared" si="9"/>
        <v>1</v>
      </c>
    </row>
    <row r="53" spans="3:15" ht="18" customHeight="1" x14ac:dyDescent="0.25">
      <c r="C53" s="11">
        <v>50</v>
      </c>
      <c r="D53">
        <v>40</v>
      </c>
      <c r="E53">
        <v>17</v>
      </c>
      <c r="K53" s="15">
        <f t="shared" si="5"/>
        <v>50</v>
      </c>
      <c r="L53" s="22">
        <f t="shared" si="6"/>
        <v>445.21000000000004</v>
      </c>
      <c r="M53" s="15">
        <f t="shared" si="7"/>
        <v>0</v>
      </c>
      <c r="N53" s="22">
        <f t="shared" si="8"/>
        <v>46.240000000000009</v>
      </c>
      <c r="O53" s="15">
        <f t="shared" si="9"/>
        <v>1</v>
      </c>
    </row>
  </sheetData>
  <mergeCells count="8">
    <mergeCell ref="A35:A36"/>
    <mergeCell ref="Q18:T18"/>
    <mergeCell ref="Q19:T31"/>
    <mergeCell ref="A4:A9"/>
    <mergeCell ref="A11:A14"/>
    <mergeCell ref="A16:A18"/>
    <mergeCell ref="A20:A21"/>
    <mergeCell ref="A29:A30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292B-F4B5-428F-976E-9411164893D0}">
  <dimension ref="A1:U53"/>
  <sheetViews>
    <sheetView workbookViewId="0">
      <pane ySplit="3" topLeftCell="A4" activePane="bottomLeft" state="frozenSplit"/>
      <selection pane="bottomLeft"/>
    </sheetView>
  </sheetViews>
  <sheetFormatPr defaultRowHeight="14.3" x14ac:dyDescent="0.25"/>
  <cols>
    <col min="1" max="1" width="54.625" customWidth="1"/>
    <col min="2" max="2" width="2.625" customWidth="1"/>
    <col min="3" max="3" width="8.625" customWidth="1"/>
    <col min="4" max="5" width="9.625" customWidth="1"/>
    <col min="6" max="6" width="2.625" customWidth="1"/>
    <col min="7" max="7" width="40.625" customWidth="1"/>
    <col min="8" max="9" width="11.625" customWidth="1"/>
    <col min="10" max="10" width="2.625" customWidth="1"/>
    <col min="11" max="11" width="9.625" customWidth="1"/>
    <col min="12" max="15" width="13.625" customWidth="1"/>
    <col min="16" max="16" width="2.625" customWidth="1"/>
    <col min="17" max="17" width="60.625" customWidth="1"/>
    <col min="18" max="19" width="12.625" customWidth="1"/>
    <col min="20" max="20" width="50.625" customWidth="1"/>
    <col min="21" max="21" width="13.625" customWidth="1"/>
  </cols>
  <sheetData>
    <row r="1" spans="1:21" ht="19.05" x14ac:dyDescent="0.25">
      <c r="A1" s="1" t="s">
        <v>174</v>
      </c>
    </row>
    <row r="2" spans="1:21" x14ac:dyDescent="0.25">
      <c r="A2" s="2" t="s">
        <v>37</v>
      </c>
    </row>
    <row r="3" spans="1:21" ht="31.95" customHeight="1" x14ac:dyDescent="0.25">
      <c r="A3" s="3" t="s">
        <v>38</v>
      </c>
      <c r="C3" s="3" t="s">
        <v>39</v>
      </c>
      <c r="D3" s="3" t="s">
        <v>40</v>
      </c>
      <c r="E3" s="3" t="s">
        <v>41</v>
      </c>
      <c r="G3" s="3" t="s">
        <v>42</v>
      </c>
      <c r="H3" s="3" t="s">
        <v>40</v>
      </c>
      <c r="I3" s="3" t="s">
        <v>41</v>
      </c>
      <c r="K3" s="10" t="s">
        <v>39</v>
      </c>
      <c r="L3" s="10" t="s">
        <v>188</v>
      </c>
      <c r="M3" s="10" t="s">
        <v>189</v>
      </c>
      <c r="N3" s="10" t="s">
        <v>190</v>
      </c>
      <c r="O3" s="10" t="s">
        <v>191</v>
      </c>
      <c r="Q3" s="10" t="s">
        <v>43</v>
      </c>
      <c r="R3" s="10" t="s">
        <v>40</v>
      </c>
      <c r="S3" s="10" t="s">
        <v>41</v>
      </c>
      <c r="T3" s="10" t="s">
        <v>44</v>
      </c>
      <c r="U3" s="10" t="s">
        <v>45</v>
      </c>
    </row>
    <row r="4" spans="1:21" ht="18" customHeight="1" x14ac:dyDescent="0.25">
      <c r="A4" s="32" t="s">
        <v>46</v>
      </c>
      <c r="C4" s="11">
        <v>1</v>
      </c>
      <c r="D4">
        <v>10</v>
      </c>
      <c r="E4">
        <v>1</v>
      </c>
      <c r="G4" s="4" t="s">
        <v>177</v>
      </c>
      <c r="H4" s="14"/>
      <c r="I4" s="14"/>
      <c r="K4" s="15">
        <f t="shared" ref="K4:K35" si="0">C4</f>
        <v>1</v>
      </c>
      <c r="L4" s="15">
        <f t="shared" ref="L4:L35" si="1">IF(AND(D4&gt;=$R$19,D4&lt;=$R$20),1,0)</f>
        <v>0</v>
      </c>
      <c r="M4" s="15" t="str">
        <f t="shared" ref="M4:M35" si="2">IF(L4=1,D4,"")</f>
        <v/>
      </c>
      <c r="N4" s="15">
        <f t="shared" ref="N4:N35" si="3">IF(AND(E4&gt;=$S$19,E4&lt;=$S$20),1,0)</f>
        <v>0</v>
      </c>
      <c r="O4" s="15" t="str">
        <f t="shared" ref="O4:O35" si="4">IF(N4=1,E4,"")</f>
        <v/>
      </c>
      <c r="Q4" s="16" t="s">
        <v>192</v>
      </c>
    </row>
    <row r="5" spans="1:21" ht="18" customHeight="1" x14ac:dyDescent="0.25">
      <c r="A5" s="32"/>
      <c r="C5" s="11">
        <v>2</v>
      </c>
      <c r="D5">
        <v>11</v>
      </c>
      <c r="E5">
        <v>3</v>
      </c>
      <c r="G5" s="4" t="s">
        <v>53</v>
      </c>
      <c r="H5" s="14"/>
      <c r="I5" s="14"/>
      <c r="K5" s="15">
        <f t="shared" si="0"/>
        <v>2</v>
      </c>
      <c r="L5" s="15">
        <f t="shared" si="1"/>
        <v>0</v>
      </c>
      <c r="M5" s="15" t="str">
        <f t="shared" si="2"/>
        <v/>
      </c>
      <c r="N5" s="15">
        <f t="shared" si="3"/>
        <v>1</v>
      </c>
      <c r="O5" s="15">
        <f t="shared" si="4"/>
        <v>3</v>
      </c>
      <c r="Q5" s="5" t="s">
        <v>63</v>
      </c>
      <c r="R5" s="17">
        <f>COUNT($D$4:$D$53)</f>
        <v>50</v>
      </c>
      <c r="S5" s="17">
        <f>COUNT($E$4:$E$53)</f>
        <v>50</v>
      </c>
      <c r="T5" s="5" t="s">
        <v>64</v>
      </c>
    </row>
    <row r="6" spans="1:21" ht="18" customHeight="1" x14ac:dyDescent="0.25">
      <c r="A6" s="32"/>
      <c r="C6" s="11">
        <v>3</v>
      </c>
      <c r="D6">
        <v>12</v>
      </c>
      <c r="E6">
        <v>4</v>
      </c>
      <c r="G6" s="4" t="s">
        <v>178</v>
      </c>
      <c r="H6" s="14"/>
      <c r="I6" s="14"/>
      <c r="K6" s="15">
        <f t="shared" si="0"/>
        <v>3</v>
      </c>
      <c r="L6" s="15">
        <f t="shared" si="1"/>
        <v>0</v>
      </c>
      <c r="M6" s="15" t="str">
        <f t="shared" si="2"/>
        <v/>
      </c>
      <c r="N6" s="15">
        <f t="shared" si="3"/>
        <v>1</v>
      </c>
      <c r="O6" s="15">
        <f t="shared" si="4"/>
        <v>4</v>
      </c>
      <c r="Q6" s="5" t="s">
        <v>193</v>
      </c>
      <c r="R6" s="18">
        <f>1+($R$5-1)*0.25</f>
        <v>13.25</v>
      </c>
      <c r="S6" s="18">
        <f>1+($S$5-1)*0.25</f>
        <v>13.25</v>
      </c>
      <c r="T6" s="5" t="s">
        <v>194</v>
      </c>
    </row>
    <row r="7" spans="1:21" ht="18" customHeight="1" x14ac:dyDescent="0.25">
      <c r="A7" s="32"/>
      <c r="C7" s="11">
        <v>4</v>
      </c>
      <c r="D7">
        <v>15</v>
      </c>
      <c r="E7">
        <v>5</v>
      </c>
      <c r="G7" s="4" t="s">
        <v>179</v>
      </c>
      <c r="H7" s="14"/>
      <c r="I7" s="14"/>
      <c r="K7" s="15">
        <f t="shared" si="0"/>
        <v>4</v>
      </c>
      <c r="L7" s="15">
        <f t="shared" si="1"/>
        <v>1</v>
      </c>
      <c r="M7" s="15">
        <f t="shared" si="2"/>
        <v>15</v>
      </c>
      <c r="N7" s="15">
        <f t="shared" si="3"/>
        <v>1</v>
      </c>
      <c r="O7" s="15">
        <f t="shared" si="4"/>
        <v>5</v>
      </c>
      <c r="Q7" s="5" t="s">
        <v>195</v>
      </c>
      <c r="R7" s="17">
        <f>D16</f>
        <v>17</v>
      </c>
      <c r="S7" s="17">
        <f>E16</f>
        <v>8</v>
      </c>
      <c r="T7" s="5" t="s">
        <v>196</v>
      </c>
    </row>
    <row r="8" spans="1:21" ht="18" customHeight="1" x14ac:dyDescent="0.25">
      <c r="A8" s="32"/>
      <c r="C8" s="11">
        <v>5</v>
      </c>
      <c r="D8">
        <v>15</v>
      </c>
      <c r="E8">
        <v>5</v>
      </c>
      <c r="G8" s="4" t="s">
        <v>180</v>
      </c>
      <c r="H8" s="25"/>
      <c r="I8" s="25"/>
      <c r="K8" s="15">
        <f t="shared" si="0"/>
        <v>5</v>
      </c>
      <c r="L8" s="15">
        <f t="shared" si="1"/>
        <v>1</v>
      </c>
      <c r="M8" s="15">
        <f t="shared" si="2"/>
        <v>15</v>
      </c>
      <c r="N8" s="15">
        <f t="shared" si="3"/>
        <v>1</v>
      </c>
      <c r="O8" s="15">
        <f t="shared" si="4"/>
        <v>5</v>
      </c>
      <c r="Q8" s="5" t="s">
        <v>197</v>
      </c>
      <c r="R8" s="17">
        <f>D17</f>
        <v>17</v>
      </c>
      <c r="S8" s="17">
        <f>E17</f>
        <v>9</v>
      </c>
      <c r="T8" s="5" t="s">
        <v>198</v>
      </c>
    </row>
    <row r="9" spans="1:21" ht="18" customHeight="1" x14ac:dyDescent="0.25">
      <c r="A9" s="32"/>
      <c r="C9" s="11">
        <v>6</v>
      </c>
      <c r="D9">
        <v>15</v>
      </c>
      <c r="E9">
        <v>7</v>
      </c>
      <c r="G9" s="4" t="s">
        <v>181</v>
      </c>
      <c r="H9" s="25"/>
      <c r="I9" s="25"/>
      <c r="K9" s="15">
        <f t="shared" si="0"/>
        <v>6</v>
      </c>
      <c r="L9" s="15">
        <f t="shared" si="1"/>
        <v>1</v>
      </c>
      <c r="M9" s="15">
        <f t="shared" si="2"/>
        <v>15</v>
      </c>
      <c r="N9" s="15">
        <f t="shared" si="3"/>
        <v>1</v>
      </c>
      <c r="O9" s="15">
        <f t="shared" si="4"/>
        <v>7</v>
      </c>
      <c r="Q9" s="5" t="s">
        <v>199</v>
      </c>
      <c r="R9" s="18">
        <f>$R$7+($R$6-13)*($R$8-$R$7)</f>
        <v>17</v>
      </c>
      <c r="S9" s="18">
        <f>$S$7+($S$6-13)*($S$8-$S$7)</f>
        <v>8.25</v>
      </c>
      <c r="T9" s="5" t="s">
        <v>200</v>
      </c>
    </row>
    <row r="10" spans="1:21" ht="18" customHeight="1" x14ac:dyDescent="0.25">
      <c r="C10" s="11">
        <v>7</v>
      </c>
      <c r="D10">
        <v>16</v>
      </c>
      <c r="E10">
        <v>7</v>
      </c>
      <c r="G10" s="4" t="s">
        <v>182</v>
      </c>
      <c r="H10" s="13"/>
      <c r="I10" s="13"/>
      <c r="K10" s="15">
        <f t="shared" si="0"/>
        <v>7</v>
      </c>
      <c r="L10" s="15">
        <f t="shared" si="1"/>
        <v>1</v>
      </c>
      <c r="M10" s="15">
        <f t="shared" si="2"/>
        <v>16</v>
      </c>
      <c r="N10" s="15">
        <f t="shared" si="3"/>
        <v>1</v>
      </c>
      <c r="O10" s="15">
        <f t="shared" si="4"/>
        <v>7</v>
      </c>
      <c r="Q10" s="16" t="s">
        <v>201</v>
      </c>
    </row>
    <row r="11" spans="1:21" ht="18" customHeight="1" x14ac:dyDescent="0.25">
      <c r="A11" s="32" t="s">
        <v>175</v>
      </c>
      <c r="C11" s="11">
        <v>8</v>
      </c>
      <c r="D11">
        <v>16</v>
      </c>
      <c r="E11">
        <v>7</v>
      </c>
      <c r="G11" s="4" t="s">
        <v>183</v>
      </c>
      <c r="H11" s="13"/>
      <c r="I11" s="13"/>
      <c r="K11" s="15">
        <f t="shared" si="0"/>
        <v>8</v>
      </c>
      <c r="L11" s="15">
        <f t="shared" si="1"/>
        <v>1</v>
      </c>
      <c r="M11" s="15">
        <f t="shared" si="2"/>
        <v>16</v>
      </c>
      <c r="N11" s="15">
        <f t="shared" si="3"/>
        <v>1</v>
      </c>
      <c r="O11" s="15">
        <f t="shared" si="4"/>
        <v>7</v>
      </c>
      <c r="Q11" s="5" t="s">
        <v>202</v>
      </c>
      <c r="R11" s="18">
        <f>(D28+D29)/2</f>
        <v>18</v>
      </c>
      <c r="S11" s="18">
        <f>(E28+E29)/2</f>
        <v>10</v>
      </c>
      <c r="T11" s="5" t="s">
        <v>203</v>
      </c>
    </row>
    <row r="12" spans="1:21" ht="18" customHeight="1" x14ac:dyDescent="0.25">
      <c r="A12" s="32"/>
      <c r="C12" s="11">
        <v>9</v>
      </c>
      <c r="D12">
        <v>16</v>
      </c>
      <c r="E12">
        <v>7</v>
      </c>
      <c r="G12" s="4" t="s">
        <v>184</v>
      </c>
      <c r="H12" s="13"/>
      <c r="I12" s="13"/>
      <c r="K12" s="15">
        <f t="shared" si="0"/>
        <v>9</v>
      </c>
      <c r="L12" s="15">
        <f t="shared" si="1"/>
        <v>1</v>
      </c>
      <c r="M12" s="15">
        <f t="shared" si="2"/>
        <v>16</v>
      </c>
      <c r="N12" s="15">
        <f t="shared" si="3"/>
        <v>1</v>
      </c>
      <c r="O12" s="15">
        <f t="shared" si="4"/>
        <v>7</v>
      </c>
      <c r="Q12" s="5" t="s">
        <v>204</v>
      </c>
      <c r="R12" s="18">
        <f>1+($R$5-1)*0.75</f>
        <v>37.75</v>
      </c>
      <c r="S12" s="18">
        <f>1+($S$5-1)*0.75</f>
        <v>37.75</v>
      </c>
      <c r="T12" s="5" t="s">
        <v>205</v>
      </c>
    </row>
    <row r="13" spans="1:21" ht="18" customHeight="1" x14ac:dyDescent="0.25">
      <c r="A13" s="32"/>
      <c r="C13" s="11">
        <v>10</v>
      </c>
      <c r="D13">
        <v>16</v>
      </c>
      <c r="E13">
        <v>8</v>
      </c>
      <c r="K13" s="15">
        <f t="shared" si="0"/>
        <v>10</v>
      </c>
      <c r="L13" s="15">
        <f t="shared" si="1"/>
        <v>1</v>
      </c>
      <c r="M13" s="15">
        <f t="shared" si="2"/>
        <v>16</v>
      </c>
      <c r="N13" s="15">
        <f t="shared" si="3"/>
        <v>1</v>
      </c>
      <c r="O13" s="15">
        <f t="shared" si="4"/>
        <v>8</v>
      </c>
      <c r="Q13" s="5" t="s">
        <v>206</v>
      </c>
      <c r="R13" s="17">
        <f>D40</f>
        <v>20</v>
      </c>
      <c r="S13" s="17">
        <f>E40</f>
        <v>12</v>
      </c>
      <c r="T13" s="5" t="s">
        <v>207</v>
      </c>
    </row>
    <row r="14" spans="1:21" ht="18" customHeight="1" x14ac:dyDescent="0.25">
      <c r="A14" s="32"/>
      <c r="C14" s="11">
        <v>11</v>
      </c>
      <c r="D14">
        <v>17</v>
      </c>
      <c r="E14">
        <v>8</v>
      </c>
      <c r="K14" s="15">
        <f t="shared" si="0"/>
        <v>11</v>
      </c>
      <c r="L14" s="15">
        <f t="shared" si="1"/>
        <v>1</v>
      </c>
      <c r="M14" s="15">
        <f t="shared" si="2"/>
        <v>17</v>
      </c>
      <c r="N14" s="15">
        <f t="shared" si="3"/>
        <v>1</v>
      </c>
      <c r="O14" s="15">
        <f t="shared" si="4"/>
        <v>8</v>
      </c>
      <c r="Q14" s="5" t="s">
        <v>208</v>
      </c>
      <c r="R14" s="17">
        <f>D41</f>
        <v>20</v>
      </c>
      <c r="S14" s="17">
        <f>E41</f>
        <v>12</v>
      </c>
      <c r="T14" s="5" t="s">
        <v>209</v>
      </c>
    </row>
    <row r="15" spans="1:21" ht="18" customHeight="1" x14ac:dyDescent="0.25">
      <c r="A15" s="32"/>
      <c r="C15" s="11">
        <v>12</v>
      </c>
      <c r="D15">
        <v>17</v>
      </c>
      <c r="E15">
        <v>8</v>
      </c>
      <c r="K15" s="15">
        <f t="shared" si="0"/>
        <v>12</v>
      </c>
      <c r="L15" s="15">
        <f t="shared" si="1"/>
        <v>1</v>
      </c>
      <c r="M15" s="15">
        <f t="shared" si="2"/>
        <v>17</v>
      </c>
      <c r="N15" s="15">
        <f t="shared" si="3"/>
        <v>1</v>
      </c>
      <c r="O15" s="15">
        <f t="shared" si="4"/>
        <v>8</v>
      </c>
      <c r="Q15" s="5" t="s">
        <v>210</v>
      </c>
      <c r="R15" s="18">
        <f>$R$13+($R$12-37)*($R$14-$R$13)</f>
        <v>20</v>
      </c>
      <c r="S15" s="18">
        <f>$S$13+($S$12-37)*($S$14-$S$13)</f>
        <v>12</v>
      </c>
      <c r="T15" s="5" t="s">
        <v>211</v>
      </c>
    </row>
    <row r="16" spans="1:21" ht="18" customHeight="1" x14ac:dyDescent="0.25">
      <c r="A16" s="32"/>
      <c r="C16" s="11">
        <v>13</v>
      </c>
      <c r="D16">
        <v>17</v>
      </c>
      <c r="E16">
        <v>8</v>
      </c>
      <c r="K16" s="15">
        <f t="shared" si="0"/>
        <v>13</v>
      </c>
      <c r="L16" s="15">
        <f t="shared" si="1"/>
        <v>1</v>
      </c>
      <c r="M16" s="15">
        <f t="shared" si="2"/>
        <v>17</v>
      </c>
      <c r="N16" s="15">
        <f t="shared" si="3"/>
        <v>1</v>
      </c>
      <c r="O16" s="15">
        <f t="shared" si="4"/>
        <v>8</v>
      </c>
      <c r="Q16" s="16" t="s">
        <v>212</v>
      </c>
    </row>
    <row r="17" spans="1:21" ht="18" customHeight="1" x14ac:dyDescent="0.25">
      <c r="C17" s="11">
        <v>14</v>
      </c>
      <c r="D17">
        <v>17</v>
      </c>
      <c r="E17">
        <v>9</v>
      </c>
      <c r="K17" s="15">
        <f t="shared" si="0"/>
        <v>14</v>
      </c>
      <c r="L17" s="15">
        <f t="shared" si="1"/>
        <v>1</v>
      </c>
      <c r="M17" s="15">
        <f t="shared" si="2"/>
        <v>17</v>
      </c>
      <c r="N17" s="15">
        <f t="shared" si="3"/>
        <v>1</v>
      </c>
      <c r="O17" s="15">
        <f t="shared" si="4"/>
        <v>9</v>
      </c>
      <c r="Q17" s="5" t="s">
        <v>213</v>
      </c>
      <c r="R17" s="18">
        <f>$R$15-$R$9</f>
        <v>3</v>
      </c>
      <c r="S17" s="18">
        <f>$S$15-$S$9</f>
        <v>3.75</v>
      </c>
      <c r="T17" s="5" t="s">
        <v>214</v>
      </c>
    </row>
    <row r="18" spans="1:21" ht="18" customHeight="1" x14ac:dyDescent="0.25">
      <c r="A18" s="34" t="s">
        <v>48</v>
      </c>
      <c r="C18" s="11">
        <v>15</v>
      </c>
      <c r="D18">
        <v>17</v>
      </c>
      <c r="E18">
        <v>9</v>
      </c>
      <c r="K18" s="15">
        <f t="shared" si="0"/>
        <v>15</v>
      </c>
      <c r="L18" s="15">
        <f t="shared" si="1"/>
        <v>1</v>
      </c>
      <c r="M18" s="15">
        <f t="shared" si="2"/>
        <v>17</v>
      </c>
      <c r="N18" s="15">
        <f t="shared" si="3"/>
        <v>1</v>
      </c>
      <c r="O18" s="15">
        <f t="shared" si="4"/>
        <v>9</v>
      </c>
      <c r="Q18" s="5" t="s">
        <v>215</v>
      </c>
      <c r="R18" s="26">
        <f>1.5*$R$17</f>
        <v>4.5</v>
      </c>
      <c r="S18" s="26">
        <f>1.5*$S$17</f>
        <v>5.625</v>
      </c>
      <c r="T18" s="5" t="s">
        <v>216</v>
      </c>
    </row>
    <row r="19" spans="1:21" ht="18" customHeight="1" x14ac:dyDescent="0.25">
      <c r="A19" s="32"/>
      <c r="C19" s="11">
        <v>16</v>
      </c>
      <c r="D19">
        <v>17</v>
      </c>
      <c r="E19">
        <v>9</v>
      </c>
      <c r="K19" s="15">
        <f t="shared" si="0"/>
        <v>16</v>
      </c>
      <c r="L19" s="15">
        <f t="shared" si="1"/>
        <v>1</v>
      </c>
      <c r="M19" s="15">
        <f t="shared" si="2"/>
        <v>17</v>
      </c>
      <c r="N19" s="15">
        <f t="shared" si="3"/>
        <v>1</v>
      </c>
      <c r="O19" s="15">
        <f t="shared" si="4"/>
        <v>9</v>
      </c>
      <c r="Q19" s="5" t="s">
        <v>217</v>
      </c>
      <c r="R19" s="26">
        <f>$R$9-$R$18</f>
        <v>12.5</v>
      </c>
      <c r="S19" s="26">
        <f>$S$9-$S$18</f>
        <v>2.625</v>
      </c>
      <c r="T19" s="5" t="s">
        <v>218</v>
      </c>
    </row>
    <row r="20" spans="1:21" ht="18" customHeight="1" x14ac:dyDescent="0.25">
      <c r="A20" s="32"/>
      <c r="C20" s="11">
        <v>17</v>
      </c>
      <c r="D20">
        <v>18</v>
      </c>
      <c r="E20">
        <v>9</v>
      </c>
      <c r="K20" s="15">
        <f t="shared" si="0"/>
        <v>17</v>
      </c>
      <c r="L20" s="15">
        <f t="shared" si="1"/>
        <v>1</v>
      </c>
      <c r="M20" s="15">
        <f t="shared" si="2"/>
        <v>18</v>
      </c>
      <c r="N20" s="15">
        <f t="shared" si="3"/>
        <v>1</v>
      </c>
      <c r="O20" s="15">
        <f t="shared" si="4"/>
        <v>9</v>
      </c>
      <c r="Q20" s="5" t="s">
        <v>219</v>
      </c>
      <c r="R20" s="26">
        <f>$R$15+$R$18</f>
        <v>24.5</v>
      </c>
      <c r="S20" s="26">
        <f>$S$15+$S$18</f>
        <v>17.625</v>
      </c>
      <c r="T20" s="5" t="s">
        <v>220</v>
      </c>
    </row>
    <row r="21" spans="1:21" ht="18" customHeight="1" x14ac:dyDescent="0.25">
      <c r="C21" s="11">
        <v>18</v>
      </c>
      <c r="D21">
        <v>18</v>
      </c>
      <c r="E21">
        <v>9</v>
      </c>
      <c r="K21" s="15">
        <f t="shared" si="0"/>
        <v>18</v>
      </c>
      <c r="L21" s="15">
        <f t="shared" si="1"/>
        <v>1</v>
      </c>
      <c r="M21" s="15">
        <f t="shared" si="2"/>
        <v>18</v>
      </c>
      <c r="N21" s="15">
        <f t="shared" si="3"/>
        <v>1</v>
      </c>
      <c r="O21" s="15">
        <f t="shared" si="4"/>
        <v>9</v>
      </c>
      <c r="Q21" s="5" t="s">
        <v>221</v>
      </c>
      <c r="R21" s="17">
        <f>MIN($M$4:$M$53)</f>
        <v>15</v>
      </c>
      <c r="S21" s="17">
        <f>MIN($O$4:$O$53)</f>
        <v>3</v>
      </c>
      <c r="T21" s="5" t="s">
        <v>222</v>
      </c>
    </row>
    <row r="22" spans="1:21" ht="18" customHeight="1" x14ac:dyDescent="0.25">
      <c r="A22" s="35" t="s">
        <v>176</v>
      </c>
      <c r="C22" s="11">
        <v>19</v>
      </c>
      <c r="D22">
        <v>18</v>
      </c>
      <c r="E22">
        <v>9</v>
      </c>
      <c r="K22" s="15">
        <f t="shared" si="0"/>
        <v>19</v>
      </c>
      <c r="L22" s="15">
        <f t="shared" si="1"/>
        <v>1</v>
      </c>
      <c r="M22" s="15">
        <f t="shared" si="2"/>
        <v>18</v>
      </c>
      <c r="N22" s="15">
        <f t="shared" si="3"/>
        <v>1</v>
      </c>
      <c r="O22" s="15">
        <f t="shared" si="4"/>
        <v>9</v>
      </c>
      <c r="Q22" s="5" t="s">
        <v>223</v>
      </c>
      <c r="R22" s="17">
        <f>MAX($M$4:$M$53)</f>
        <v>24</v>
      </c>
      <c r="S22" s="17">
        <f>MAX($O$4:$O$53)</f>
        <v>17</v>
      </c>
      <c r="T22" s="5" t="s">
        <v>224</v>
      </c>
    </row>
    <row r="23" spans="1:21" ht="18" customHeight="1" x14ac:dyDescent="0.25">
      <c r="A23" s="32"/>
      <c r="C23" s="11">
        <v>20</v>
      </c>
      <c r="D23">
        <v>18</v>
      </c>
      <c r="E23">
        <v>9</v>
      </c>
      <c r="K23" s="15">
        <f t="shared" si="0"/>
        <v>20</v>
      </c>
      <c r="L23" s="15">
        <f t="shared" si="1"/>
        <v>1</v>
      </c>
      <c r="M23" s="15">
        <f t="shared" si="2"/>
        <v>18</v>
      </c>
      <c r="N23" s="15">
        <f t="shared" si="3"/>
        <v>1</v>
      </c>
      <c r="O23" s="15">
        <f t="shared" si="4"/>
        <v>9</v>
      </c>
      <c r="Q23" s="5" t="s">
        <v>225</v>
      </c>
      <c r="R23" s="17">
        <f>$R$5-SUM($L$4:$L$53)</f>
        <v>5</v>
      </c>
      <c r="S23" s="17">
        <f>$S$5-SUM($N$4:$N$53)</f>
        <v>1</v>
      </c>
      <c r="T23" s="5" t="s">
        <v>226</v>
      </c>
    </row>
    <row r="24" spans="1:21" ht="18" customHeight="1" x14ac:dyDescent="0.25">
      <c r="C24" s="11">
        <v>21</v>
      </c>
      <c r="D24">
        <v>18</v>
      </c>
      <c r="E24">
        <v>10</v>
      </c>
      <c r="K24" s="15">
        <f t="shared" si="0"/>
        <v>21</v>
      </c>
      <c r="L24" s="15">
        <f t="shared" si="1"/>
        <v>1</v>
      </c>
      <c r="M24" s="15">
        <f t="shared" si="2"/>
        <v>18</v>
      </c>
      <c r="N24" s="15">
        <f t="shared" si="3"/>
        <v>1</v>
      </c>
      <c r="O24" s="15">
        <f t="shared" si="4"/>
        <v>10</v>
      </c>
      <c r="Q24" s="16" t="s">
        <v>85</v>
      </c>
    </row>
    <row r="25" spans="1:21" ht="18" customHeight="1" x14ac:dyDescent="0.25">
      <c r="A25" s="10" t="s">
        <v>55</v>
      </c>
      <c r="C25" s="11">
        <v>22</v>
      </c>
      <c r="D25">
        <v>18</v>
      </c>
      <c r="E25">
        <v>10</v>
      </c>
      <c r="K25" s="15">
        <f t="shared" si="0"/>
        <v>22</v>
      </c>
      <c r="L25" s="15">
        <f t="shared" si="1"/>
        <v>1</v>
      </c>
      <c r="M25" s="15">
        <f t="shared" si="2"/>
        <v>18</v>
      </c>
      <c r="N25" s="15">
        <f t="shared" si="3"/>
        <v>1</v>
      </c>
      <c r="O25" s="15">
        <f t="shared" si="4"/>
        <v>10</v>
      </c>
      <c r="Q25" s="5" t="s">
        <v>227</v>
      </c>
      <c r="R25" s="20">
        <f>_xlfn.PERCENTILE.INC($D$4:$D$53,0.25)</f>
        <v>17</v>
      </c>
      <c r="S25" s="20">
        <f>_xlfn.PERCENTILE.INC($E$4:$E$53,0.25)</f>
        <v>8.25</v>
      </c>
      <c r="T25" s="5" t="s">
        <v>228</v>
      </c>
      <c r="U25" s="21" t="str">
        <f>IF(AND(ABS(R25-$R$9)&lt;0.000001,ABS(S25-$S$9)&lt;0.000001),"ano","ne")</f>
        <v>ano</v>
      </c>
    </row>
    <row r="26" spans="1:21" ht="18" customHeight="1" x14ac:dyDescent="0.25">
      <c r="C26" s="11">
        <v>23</v>
      </c>
      <c r="D26">
        <v>18</v>
      </c>
      <c r="E26">
        <v>10</v>
      </c>
      <c r="K26" s="15">
        <f t="shared" si="0"/>
        <v>23</v>
      </c>
      <c r="L26" s="15">
        <f t="shared" si="1"/>
        <v>1</v>
      </c>
      <c r="M26" s="15">
        <f t="shared" si="2"/>
        <v>18</v>
      </c>
      <c r="N26" s="15">
        <f t="shared" si="3"/>
        <v>1</v>
      </c>
      <c r="O26" s="15">
        <f t="shared" si="4"/>
        <v>10</v>
      </c>
      <c r="Q26" s="5" t="s">
        <v>229</v>
      </c>
      <c r="R26" s="20">
        <f>_xlfn.PERCENTILE.INC($D$4:$D$53,0.75)</f>
        <v>20</v>
      </c>
      <c r="S26" s="20">
        <f>_xlfn.PERCENTILE.INC($E$4:$E$53,0.75)</f>
        <v>12</v>
      </c>
      <c r="T26" s="5" t="s">
        <v>230</v>
      </c>
      <c r="U26" s="21" t="str">
        <f>IF(AND(ABS(R26-$R$15)&lt;0.000001,ABS(S26-$S$15)&lt;0.000001),"ano","ne")</f>
        <v>ano</v>
      </c>
    </row>
    <row r="27" spans="1:21" ht="18" customHeight="1" x14ac:dyDescent="0.25">
      <c r="C27" s="11">
        <v>24</v>
      </c>
      <c r="D27">
        <v>18</v>
      </c>
      <c r="E27">
        <v>10</v>
      </c>
      <c r="K27" s="15">
        <f t="shared" si="0"/>
        <v>24</v>
      </c>
      <c r="L27" s="15">
        <f t="shared" si="1"/>
        <v>1</v>
      </c>
      <c r="M27" s="15">
        <f t="shared" si="2"/>
        <v>18</v>
      </c>
      <c r="N27" s="15">
        <f t="shared" si="3"/>
        <v>1</v>
      </c>
      <c r="O27" s="15">
        <f t="shared" si="4"/>
        <v>10</v>
      </c>
      <c r="Q27" s="5" t="s">
        <v>88</v>
      </c>
      <c r="R27" s="20">
        <f>MEDIAN($D$4:$D$53)</f>
        <v>18</v>
      </c>
      <c r="S27" s="20">
        <f>MEDIAN($E$4:$E$53)</f>
        <v>10</v>
      </c>
      <c r="T27" s="5" t="s">
        <v>89</v>
      </c>
      <c r="U27" s="21" t="str">
        <f>IF(AND(ABS(R27-$R$11)&lt;0.000001,ABS(S27-$S$11)&lt;0.000001),"ano","ne")</f>
        <v>ano</v>
      </c>
    </row>
    <row r="28" spans="1:21" ht="18" customHeight="1" x14ac:dyDescent="0.25">
      <c r="A28" s="35" t="s">
        <v>185</v>
      </c>
      <c r="C28" s="11">
        <v>25</v>
      </c>
      <c r="D28">
        <v>18</v>
      </c>
      <c r="E28">
        <v>10</v>
      </c>
      <c r="K28" s="15">
        <f t="shared" si="0"/>
        <v>25</v>
      </c>
      <c r="L28" s="15">
        <f t="shared" si="1"/>
        <v>1</v>
      </c>
      <c r="M28" s="15">
        <f t="shared" si="2"/>
        <v>18</v>
      </c>
      <c r="N28" s="15">
        <f t="shared" si="3"/>
        <v>1</v>
      </c>
      <c r="O28" s="15">
        <f t="shared" si="4"/>
        <v>10</v>
      </c>
      <c r="Q28" s="5" t="s">
        <v>231</v>
      </c>
      <c r="R28" s="19">
        <f>_xlfn.MINIFS($D$4:$D$53,$D$4:$D$53,"&gt;="&amp;$R$19)</f>
        <v>15</v>
      </c>
      <c r="S28" s="19">
        <f>_xlfn.MINIFS($E$4:$E$53,$E$4:$E$53,"&gt;="&amp;$S$19)</f>
        <v>3</v>
      </c>
      <c r="T28" s="5" t="s">
        <v>232</v>
      </c>
      <c r="U28" s="21" t="str">
        <f>IF(AND(ABS(R28-$R$21)&lt;0.000001,ABS(S28-$S$21)&lt;0.000001),"ano","ne")</f>
        <v>ano</v>
      </c>
    </row>
    <row r="29" spans="1:21" ht="18" customHeight="1" x14ac:dyDescent="0.25">
      <c r="A29" s="32"/>
      <c r="C29" s="11">
        <v>26</v>
      </c>
      <c r="D29">
        <v>18</v>
      </c>
      <c r="E29">
        <v>10</v>
      </c>
      <c r="K29" s="15">
        <f t="shared" si="0"/>
        <v>26</v>
      </c>
      <c r="L29" s="15">
        <f t="shared" si="1"/>
        <v>1</v>
      </c>
      <c r="M29" s="15">
        <f t="shared" si="2"/>
        <v>18</v>
      </c>
      <c r="N29" s="15">
        <f t="shared" si="3"/>
        <v>1</v>
      </c>
      <c r="O29" s="15">
        <f t="shared" si="4"/>
        <v>10</v>
      </c>
      <c r="Q29" s="5" t="s">
        <v>233</v>
      </c>
      <c r="R29" s="19">
        <f>_xlfn.MAXIFS($D$4:$D$53,$D$4:$D$53,"&lt;="&amp;$R$20)</f>
        <v>24</v>
      </c>
      <c r="S29" s="19">
        <f>_xlfn.MAXIFS($E$4:$E$53,$E$4:$E$53,"&lt;="&amp;$S$20)</f>
        <v>17</v>
      </c>
      <c r="T29" s="5" t="s">
        <v>234</v>
      </c>
      <c r="U29" s="21" t="str">
        <f>IF(AND(ABS(R29-$R$22)&lt;0.000001,ABS(S29-$S$22)&lt;0.000001),"ano","ne")</f>
        <v>ano</v>
      </c>
    </row>
    <row r="30" spans="1:21" ht="18" customHeight="1" x14ac:dyDescent="0.25">
      <c r="C30" s="11">
        <v>27</v>
      </c>
      <c r="D30">
        <v>19</v>
      </c>
      <c r="E30">
        <v>10</v>
      </c>
      <c r="K30" s="15">
        <f t="shared" si="0"/>
        <v>27</v>
      </c>
      <c r="L30" s="15">
        <f t="shared" si="1"/>
        <v>1</v>
      </c>
      <c r="M30" s="15">
        <f t="shared" si="2"/>
        <v>19</v>
      </c>
      <c r="N30" s="15">
        <f t="shared" si="3"/>
        <v>1</v>
      </c>
      <c r="O30" s="15">
        <f t="shared" si="4"/>
        <v>10</v>
      </c>
    </row>
    <row r="31" spans="1:21" ht="18" customHeight="1" x14ac:dyDescent="0.25">
      <c r="C31" s="11">
        <v>28</v>
      </c>
      <c r="D31">
        <v>19</v>
      </c>
      <c r="E31">
        <v>10</v>
      </c>
      <c r="K31" s="15">
        <f t="shared" si="0"/>
        <v>28</v>
      </c>
      <c r="L31" s="15">
        <f t="shared" si="1"/>
        <v>1</v>
      </c>
      <c r="M31" s="15">
        <f t="shared" si="2"/>
        <v>19</v>
      </c>
      <c r="N31" s="15">
        <f t="shared" si="3"/>
        <v>1</v>
      </c>
      <c r="O31" s="15">
        <f t="shared" si="4"/>
        <v>10</v>
      </c>
      <c r="Q31" s="33" t="s">
        <v>92</v>
      </c>
      <c r="R31" s="33"/>
      <c r="S31" s="33"/>
      <c r="T31" s="33"/>
    </row>
    <row r="32" spans="1:21" ht="18" customHeight="1" x14ac:dyDescent="0.25">
      <c r="C32" s="11">
        <v>29</v>
      </c>
      <c r="D32">
        <v>19</v>
      </c>
      <c r="E32">
        <v>11</v>
      </c>
      <c r="K32" s="15">
        <f t="shared" si="0"/>
        <v>29</v>
      </c>
      <c r="L32" s="15">
        <f t="shared" si="1"/>
        <v>1</v>
      </c>
      <c r="M32" s="15">
        <f t="shared" si="2"/>
        <v>19</v>
      </c>
      <c r="N32" s="15">
        <f t="shared" si="3"/>
        <v>1</v>
      </c>
      <c r="O32" s="15">
        <f t="shared" si="4"/>
        <v>11</v>
      </c>
      <c r="Q32" s="32" t="s">
        <v>235</v>
      </c>
      <c r="R32" s="32"/>
      <c r="S32" s="32"/>
      <c r="T32" s="32"/>
    </row>
    <row r="33" spans="1:20" ht="18" customHeight="1" x14ac:dyDescent="0.25">
      <c r="A33" s="35" t="s">
        <v>186</v>
      </c>
      <c r="C33" s="11">
        <v>30</v>
      </c>
      <c r="D33">
        <v>19</v>
      </c>
      <c r="E33">
        <v>11</v>
      </c>
      <c r="K33" s="15">
        <f t="shared" si="0"/>
        <v>30</v>
      </c>
      <c r="L33" s="15">
        <f t="shared" si="1"/>
        <v>1</v>
      </c>
      <c r="M33" s="15">
        <f t="shared" si="2"/>
        <v>19</v>
      </c>
      <c r="N33" s="15">
        <f t="shared" si="3"/>
        <v>1</v>
      </c>
      <c r="O33" s="15">
        <f t="shared" si="4"/>
        <v>11</v>
      </c>
      <c r="Q33" s="32"/>
      <c r="R33" s="32"/>
      <c r="S33" s="32"/>
      <c r="T33" s="32"/>
    </row>
    <row r="34" spans="1:20" ht="18" customHeight="1" x14ac:dyDescent="0.25">
      <c r="A34" s="32"/>
      <c r="C34" s="11">
        <v>31</v>
      </c>
      <c r="D34">
        <v>19</v>
      </c>
      <c r="E34">
        <v>11</v>
      </c>
      <c r="K34" s="15">
        <f t="shared" si="0"/>
        <v>31</v>
      </c>
      <c r="L34" s="15">
        <f t="shared" si="1"/>
        <v>1</v>
      </c>
      <c r="M34" s="15">
        <f t="shared" si="2"/>
        <v>19</v>
      </c>
      <c r="N34" s="15">
        <f t="shared" si="3"/>
        <v>1</v>
      </c>
      <c r="O34" s="15">
        <f t="shared" si="4"/>
        <v>11</v>
      </c>
      <c r="Q34" s="32"/>
      <c r="R34" s="32"/>
      <c r="S34" s="32"/>
      <c r="T34" s="32"/>
    </row>
    <row r="35" spans="1:20" ht="18" customHeight="1" x14ac:dyDescent="0.25">
      <c r="C35" s="11">
        <v>32</v>
      </c>
      <c r="D35">
        <v>19</v>
      </c>
      <c r="E35">
        <v>11</v>
      </c>
      <c r="K35" s="15">
        <f t="shared" si="0"/>
        <v>32</v>
      </c>
      <c r="L35" s="15">
        <f t="shared" si="1"/>
        <v>1</v>
      </c>
      <c r="M35" s="15">
        <f t="shared" si="2"/>
        <v>19</v>
      </c>
      <c r="N35" s="15">
        <f t="shared" si="3"/>
        <v>1</v>
      </c>
      <c r="O35" s="15">
        <f t="shared" si="4"/>
        <v>11</v>
      </c>
      <c r="Q35" s="32"/>
      <c r="R35" s="32"/>
      <c r="S35" s="32"/>
      <c r="T35" s="32"/>
    </row>
    <row r="36" spans="1:20" ht="18" customHeight="1" x14ac:dyDescent="0.25">
      <c r="C36" s="11">
        <v>33</v>
      </c>
      <c r="D36">
        <v>19</v>
      </c>
      <c r="E36">
        <v>11</v>
      </c>
      <c r="K36" s="15">
        <f t="shared" ref="K36:K53" si="5">C36</f>
        <v>33</v>
      </c>
      <c r="L36" s="15">
        <f t="shared" ref="L36:L53" si="6">IF(AND(D36&gt;=$R$19,D36&lt;=$R$20),1,0)</f>
        <v>1</v>
      </c>
      <c r="M36" s="15">
        <f t="shared" ref="M36:M67" si="7">IF(L36=1,D36,"")</f>
        <v>19</v>
      </c>
      <c r="N36" s="15">
        <f t="shared" ref="N36:N53" si="8">IF(AND(E36&gt;=$S$19,E36&lt;=$S$20),1,0)</f>
        <v>1</v>
      </c>
      <c r="O36" s="15">
        <f t="shared" ref="O36:O67" si="9">IF(N36=1,E36,"")</f>
        <v>11</v>
      </c>
      <c r="Q36" s="32"/>
      <c r="R36" s="32"/>
      <c r="S36" s="32"/>
      <c r="T36" s="32"/>
    </row>
    <row r="37" spans="1:20" ht="18" customHeight="1" x14ac:dyDescent="0.25">
      <c r="C37" s="11">
        <v>34</v>
      </c>
      <c r="D37">
        <v>20</v>
      </c>
      <c r="E37">
        <v>11</v>
      </c>
      <c r="K37" s="15">
        <f t="shared" si="5"/>
        <v>34</v>
      </c>
      <c r="L37" s="15">
        <f t="shared" si="6"/>
        <v>1</v>
      </c>
      <c r="M37" s="15">
        <f t="shared" si="7"/>
        <v>20</v>
      </c>
      <c r="N37" s="15">
        <f t="shared" si="8"/>
        <v>1</v>
      </c>
      <c r="O37" s="15">
        <f t="shared" si="9"/>
        <v>11</v>
      </c>
      <c r="Q37" s="32"/>
      <c r="R37" s="32"/>
      <c r="S37" s="32"/>
      <c r="T37" s="32"/>
    </row>
    <row r="38" spans="1:20" ht="18" customHeight="1" x14ac:dyDescent="0.25">
      <c r="C38" s="11">
        <v>35</v>
      </c>
      <c r="D38">
        <v>20</v>
      </c>
      <c r="E38">
        <v>12</v>
      </c>
      <c r="K38" s="15">
        <f t="shared" si="5"/>
        <v>35</v>
      </c>
      <c r="L38" s="15">
        <f t="shared" si="6"/>
        <v>1</v>
      </c>
      <c r="M38" s="15">
        <f t="shared" si="7"/>
        <v>20</v>
      </c>
      <c r="N38" s="15">
        <f t="shared" si="8"/>
        <v>1</v>
      </c>
      <c r="O38" s="15">
        <f t="shared" si="9"/>
        <v>12</v>
      </c>
      <c r="Q38" s="32"/>
      <c r="R38" s="32"/>
      <c r="S38" s="32"/>
      <c r="T38" s="32"/>
    </row>
    <row r="39" spans="1:20" ht="18" customHeight="1" x14ac:dyDescent="0.25">
      <c r="C39" s="11">
        <v>36</v>
      </c>
      <c r="D39">
        <v>20</v>
      </c>
      <c r="E39">
        <v>12</v>
      </c>
      <c r="K39" s="15">
        <f t="shared" si="5"/>
        <v>36</v>
      </c>
      <c r="L39" s="15">
        <f t="shared" si="6"/>
        <v>1</v>
      </c>
      <c r="M39" s="15">
        <f t="shared" si="7"/>
        <v>20</v>
      </c>
      <c r="N39" s="15">
        <f t="shared" si="8"/>
        <v>1</v>
      </c>
      <c r="O39" s="15">
        <f t="shared" si="9"/>
        <v>12</v>
      </c>
      <c r="Q39" s="32"/>
      <c r="R39" s="32"/>
      <c r="S39" s="32"/>
      <c r="T39" s="32"/>
    </row>
    <row r="40" spans="1:20" ht="18" customHeight="1" x14ac:dyDescent="0.25">
      <c r="A40" s="35" t="s">
        <v>187</v>
      </c>
      <c r="C40" s="11">
        <v>37</v>
      </c>
      <c r="D40">
        <v>20</v>
      </c>
      <c r="E40">
        <v>12</v>
      </c>
      <c r="K40" s="15">
        <f t="shared" si="5"/>
        <v>37</v>
      </c>
      <c r="L40" s="15">
        <f t="shared" si="6"/>
        <v>1</v>
      </c>
      <c r="M40" s="15">
        <f t="shared" si="7"/>
        <v>20</v>
      </c>
      <c r="N40" s="15">
        <f t="shared" si="8"/>
        <v>1</v>
      </c>
      <c r="O40" s="15">
        <f t="shared" si="9"/>
        <v>12</v>
      </c>
      <c r="Q40" s="32"/>
      <c r="R40" s="32"/>
      <c r="S40" s="32"/>
      <c r="T40" s="32"/>
    </row>
    <row r="41" spans="1:20" ht="18" customHeight="1" x14ac:dyDescent="0.25">
      <c r="A41" s="32"/>
      <c r="C41" s="11">
        <v>38</v>
      </c>
      <c r="D41">
        <v>20</v>
      </c>
      <c r="E41">
        <v>12</v>
      </c>
      <c r="K41" s="15">
        <f t="shared" si="5"/>
        <v>38</v>
      </c>
      <c r="L41" s="15">
        <f t="shared" si="6"/>
        <v>1</v>
      </c>
      <c r="M41" s="15">
        <f t="shared" si="7"/>
        <v>20</v>
      </c>
      <c r="N41" s="15">
        <f t="shared" si="8"/>
        <v>1</v>
      </c>
      <c r="O41" s="15">
        <f t="shared" si="9"/>
        <v>12</v>
      </c>
      <c r="Q41" s="32"/>
      <c r="R41" s="32"/>
      <c r="S41" s="32"/>
      <c r="T41" s="32"/>
    </row>
    <row r="42" spans="1:20" ht="18" customHeight="1" x14ac:dyDescent="0.25">
      <c r="C42" s="11">
        <v>39</v>
      </c>
      <c r="D42">
        <v>20</v>
      </c>
      <c r="E42">
        <v>12</v>
      </c>
      <c r="K42" s="15">
        <f t="shared" si="5"/>
        <v>39</v>
      </c>
      <c r="L42" s="15">
        <f t="shared" si="6"/>
        <v>1</v>
      </c>
      <c r="M42" s="15">
        <f t="shared" si="7"/>
        <v>20</v>
      </c>
      <c r="N42" s="15">
        <f t="shared" si="8"/>
        <v>1</v>
      </c>
      <c r="O42" s="15">
        <f t="shared" si="9"/>
        <v>12</v>
      </c>
      <c r="Q42" s="32"/>
      <c r="R42" s="32"/>
      <c r="S42" s="32"/>
      <c r="T42" s="32"/>
    </row>
    <row r="43" spans="1:20" ht="18" customHeight="1" x14ac:dyDescent="0.25">
      <c r="C43" s="11">
        <v>40</v>
      </c>
      <c r="D43">
        <v>20</v>
      </c>
      <c r="E43">
        <v>13</v>
      </c>
      <c r="K43" s="15">
        <f t="shared" si="5"/>
        <v>40</v>
      </c>
      <c r="L43" s="15">
        <f t="shared" si="6"/>
        <v>1</v>
      </c>
      <c r="M43" s="15">
        <f t="shared" si="7"/>
        <v>20</v>
      </c>
      <c r="N43" s="15">
        <f t="shared" si="8"/>
        <v>1</v>
      </c>
      <c r="O43" s="15">
        <f t="shared" si="9"/>
        <v>13</v>
      </c>
      <c r="Q43" s="32"/>
      <c r="R43" s="32"/>
      <c r="S43" s="32"/>
      <c r="T43" s="32"/>
    </row>
    <row r="44" spans="1:20" ht="18" customHeight="1" x14ac:dyDescent="0.25">
      <c r="C44" s="11">
        <v>41</v>
      </c>
      <c r="D44">
        <v>21</v>
      </c>
      <c r="E44">
        <v>14</v>
      </c>
      <c r="K44" s="15">
        <f t="shared" si="5"/>
        <v>41</v>
      </c>
      <c r="L44" s="15">
        <f t="shared" si="6"/>
        <v>1</v>
      </c>
      <c r="M44" s="15">
        <f t="shared" si="7"/>
        <v>21</v>
      </c>
      <c r="N44" s="15">
        <f t="shared" si="8"/>
        <v>1</v>
      </c>
      <c r="O44" s="15">
        <f t="shared" si="9"/>
        <v>14</v>
      </c>
      <c r="Q44" s="32"/>
      <c r="R44" s="32"/>
      <c r="S44" s="32"/>
      <c r="T44" s="32"/>
    </row>
    <row r="45" spans="1:20" ht="18" customHeight="1" x14ac:dyDescent="0.25">
      <c r="C45" s="11">
        <v>42</v>
      </c>
      <c r="D45">
        <v>21</v>
      </c>
      <c r="E45">
        <v>14</v>
      </c>
      <c r="K45" s="15">
        <f t="shared" si="5"/>
        <v>42</v>
      </c>
      <c r="L45" s="15">
        <f t="shared" si="6"/>
        <v>1</v>
      </c>
      <c r="M45" s="15">
        <f t="shared" si="7"/>
        <v>21</v>
      </c>
      <c r="N45" s="15">
        <f t="shared" si="8"/>
        <v>1</v>
      </c>
      <c r="O45" s="15">
        <f t="shared" si="9"/>
        <v>14</v>
      </c>
      <c r="Q45" s="32"/>
      <c r="R45" s="32"/>
      <c r="S45" s="32"/>
      <c r="T45" s="32"/>
    </row>
    <row r="46" spans="1:20" ht="18" customHeight="1" x14ac:dyDescent="0.25">
      <c r="C46" s="11">
        <v>43</v>
      </c>
      <c r="D46">
        <v>21</v>
      </c>
      <c r="E46">
        <v>14</v>
      </c>
      <c r="K46" s="15">
        <f t="shared" si="5"/>
        <v>43</v>
      </c>
      <c r="L46" s="15">
        <f t="shared" si="6"/>
        <v>1</v>
      </c>
      <c r="M46" s="15">
        <f t="shared" si="7"/>
        <v>21</v>
      </c>
      <c r="N46" s="15">
        <f t="shared" si="8"/>
        <v>1</v>
      </c>
      <c r="O46" s="15">
        <f t="shared" si="9"/>
        <v>14</v>
      </c>
      <c r="Q46" s="32"/>
      <c r="R46" s="32"/>
      <c r="S46" s="32"/>
      <c r="T46" s="32"/>
    </row>
    <row r="47" spans="1:20" ht="18" customHeight="1" x14ac:dyDescent="0.25">
      <c r="C47" s="11">
        <v>44</v>
      </c>
      <c r="D47">
        <v>22</v>
      </c>
      <c r="E47">
        <v>14</v>
      </c>
      <c r="K47" s="15">
        <f t="shared" si="5"/>
        <v>44</v>
      </c>
      <c r="L47" s="15">
        <f t="shared" si="6"/>
        <v>1</v>
      </c>
      <c r="M47" s="15">
        <f t="shared" si="7"/>
        <v>22</v>
      </c>
      <c r="N47" s="15">
        <f t="shared" si="8"/>
        <v>1</v>
      </c>
      <c r="O47" s="15">
        <f t="shared" si="9"/>
        <v>14</v>
      </c>
      <c r="Q47" s="32"/>
      <c r="R47" s="32"/>
      <c r="S47" s="32"/>
      <c r="T47" s="32"/>
    </row>
    <row r="48" spans="1:20" ht="18" customHeight="1" x14ac:dyDescent="0.25">
      <c r="C48" s="11">
        <v>45</v>
      </c>
      <c r="D48">
        <v>22</v>
      </c>
      <c r="E48">
        <v>15</v>
      </c>
      <c r="K48" s="15">
        <f t="shared" si="5"/>
        <v>45</v>
      </c>
      <c r="L48" s="15">
        <f t="shared" si="6"/>
        <v>1</v>
      </c>
      <c r="M48" s="15">
        <f t="shared" si="7"/>
        <v>22</v>
      </c>
      <c r="N48" s="15">
        <f t="shared" si="8"/>
        <v>1</v>
      </c>
      <c r="O48" s="15">
        <f t="shared" si="9"/>
        <v>15</v>
      </c>
      <c r="Q48" s="32"/>
      <c r="R48" s="32"/>
      <c r="S48" s="32"/>
      <c r="T48" s="32"/>
    </row>
    <row r="49" spans="3:15" ht="18" customHeight="1" x14ac:dyDescent="0.25">
      <c r="C49" s="11">
        <v>46</v>
      </c>
      <c r="D49">
        <v>23</v>
      </c>
      <c r="E49">
        <v>15</v>
      </c>
      <c r="K49" s="15">
        <f t="shared" si="5"/>
        <v>46</v>
      </c>
      <c r="L49" s="15">
        <f t="shared" si="6"/>
        <v>1</v>
      </c>
      <c r="M49" s="15">
        <f t="shared" si="7"/>
        <v>23</v>
      </c>
      <c r="N49" s="15">
        <f t="shared" si="8"/>
        <v>1</v>
      </c>
      <c r="O49" s="15">
        <f t="shared" si="9"/>
        <v>15</v>
      </c>
    </row>
    <row r="50" spans="3:15" ht="18" customHeight="1" x14ac:dyDescent="0.25">
      <c r="C50" s="11">
        <v>47</v>
      </c>
      <c r="D50">
        <v>23</v>
      </c>
      <c r="E50">
        <v>15</v>
      </c>
      <c r="K50" s="15">
        <f t="shared" si="5"/>
        <v>47</v>
      </c>
      <c r="L50" s="15">
        <f t="shared" si="6"/>
        <v>1</v>
      </c>
      <c r="M50" s="15">
        <f t="shared" si="7"/>
        <v>23</v>
      </c>
      <c r="N50" s="15">
        <f t="shared" si="8"/>
        <v>1</v>
      </c>
      <c r="O50" s="15">
        <f t="shared" si="9"/>
        <v>15</v>
      </c>
    </row>
    <row r="51" spans="3:15" ht="18" customHeight="1" x14ac:dyDescent="0.25">
      <c r="C51" s="11">
        <v>48</v>
      </c>
      <c r="D51">
        <v>24</v>
      </c>
      <c r="E51">
        <v>16</v>
      </c>
      <c r="K51" s="15">
        <f t="shared" si="5"/>
        <v>48</v>
      </c>
      <c r="L51" s="15">
        <f t="shared" si="6"/>
        <v>1</v>
      </c>
      <c r="M51" s="15">
        <f t="shared" si="7"/>
        <v>24</v>
      </c>
      <c r="N51" s="15">
        <f t="shared" si="8"/>
        <v>1</v>
      </c>
      <c r="O51" s="15">
        <f t="shared" si="9"/>
        <v>16</v>
      </c>
    </row>
    <row r="52" spans="3:15" ht="18" customHeight="1" x14ac:dyDescent="0.25">
      <c r="C52" s="11">
        <v>49</v>
      </c>
      <c r="D52">
        <v>31</v>
      </c>
      <c r="E52">
        <v>16</v>
      </c>
      <c r="K52" s="15">
        <f t="shared" si="5"/>
        <v>49</v>
      </c>
      <c r="L52" s="15">
        <f t="shared" si="6"/>
        <v>0</v>
      </c>
      <c r="M52" s="15" t="str">
        <f t="shared" si="7"/>
        <v/>
      </c>
      <c r="N52" s="15">
        <f t="shared" si="8"/>
        <v>1</v>
      </c>
      <c r="O52" s="15">
        <f t="shared" si="9"/>
        <v>16</v>
      </c>
    </row>
    <row r="53" spans="3:15" ht="18" customHeight="1" x14ac:dyDescent="0.25">
      <c r="C53" s="11">
        <v>50</v>
      </c>
      <c r="D53">
        <v>40</v>
      </c>
      <c r="E53">
        <v>17</v>
      </c>
      <c r="K53" s="15">
        <f t="shared" si="5"/>
        <v>50</v>
      </c>
      <c r="L53" s="15">
        <f t="shared" si="6"/>
        <v>0</v>
      </c>
      <c r="M53" s="15" t="str">
        <f t="shared" si="7"/>
        <v/>
      </c>
      <c r="N53" s="15">
        <f t="shared" si="8"/>
        <v>1</v>
      </c>
      <c r="O53" s="15">
        <f t="shared" si="9"/>
        <v>17</v>
      </c>
    </row>
  </sheetData>
  <mergeCells count="9">
    <mergeCell ref="A40:A41"/>
    <mergeCell ref="Q31:T31"/>
    <mergeCell ref="Q32:T48"/>
    <mergeCell ref="A4:A9"/>
    <mergeCell ref="A11:A16"/>
    <mergeCell ref="A18:A20"/>
    <mergeCell ref="A22:A23"/>
    <mergeCell ref="A28:A29"/>
    <mergeCell ref="A33:A34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1799-4AC1-42C5-9339-0184F2EC06C9}">
  <dimension ref="A1:U53"/>
  <sheetViews>
    <sheetView workbookViewId="0">
      <pane ySplit="3" topLeftCell="A4" activePane="bottomLeft" state="frozenSplit"/>
      <selection pane="bottomLeft"/>
    </sheetView>
  </sheetViews>
  <sheetFormatPr defaultRowHeight="14.3" x14ac:dyDescent="0.25"/>
  <cols>
    <col min="1" max="1" width="54.625" customWidth="1"/>
    <col min="2" max="2" width="2.625" customWidth="1"/>
    <col min="3" max="3" width="8.625" customWidth="1"/>
    <col min="4" max="5" width="9.625" customWidth="1"/>
    <col min="6" max="6" width="2.625" customWidth="1"/>
    <col min="7" max="7" width="40.625" customWidth="1"/>
    <col min="8" max="9" width="11.625" customWidth="1"/>
    <col min="10" max="10" width="2.625" customWidth="1"/>
    <col min="11" max="11" width="9.625" customWidth="1"/>
    <col min="12" max="15" width="13.625" customWidth="1"/>
    <col min="16" max="16" width="2.625" customWidth="1"/>
    <col min="17" max="17" width="60.625" customWidth="1"/>
    <col min="18" max="19" width="12.625" customWidth="1"/>
    <col min="20" max="20" width="50.625" customWidth="1"/>
    <col min="21" max="21" width="13.625" customWidth="1"/>
  </cols>
  <sheetData>
    <row r="1" spans="1:21" ht="19.05" x14ac:dyDescent="0.25">
      <c r="A1" s="1" t="s">
        <v>15</v>
      </c>
    </row>
    <row r="2" spans="1:21" x14ac:dyDescent="0.25">
      <c r="A2" s="2" t="s">
        <v>37</v>
      </c>
    </row>
    <row r="3" spans="1:21" ht="31.95" customHeight="1" x14ac:dyDescent="0.25">
      <c r="A3" s="3" t="s">
        <v>38</v>
      </c>
      <c r="C3" s="3" t="s">
        <v>39</v>
      </c>
      <c r="D3" s="3" t="s">
        <v>40</v>
      </c>
      <c r="E3" s="3" t="s">
        <v>41</v>
      </c>
      <c r="G3" s="3" t="s">
        <v>42</v>
      </c>
      <c r="H3" s="3" t="s">
        <v>40</v>
      </c>
      <c r="I3" s="3" t="s">
        <v>41</v>
      </c>
      <c r="K3" s="10" t="s">
        <v>39</v>
      </c>
      <c r="L3" s="10" t="s">
        <v>244</v>
      </c>
      <c r="M3" s="10" t="s">
        <v>245</v>
      </c>
      <c r="N3" s="10" t="s">
        <v>246</v>
      </c>
      <c r="Q3" s="10" t="s">
        <v>43</v>
      </c>
      <c r="R3" s="10" t="s">
        <v>40</v>
      </c>
      <c r="S3" s="10" t="s">
        <v>41</v>
      </c>
      <c r="T3" s="10" t="s">
        <v>44</v>
      </c>
      <c r="U3" s="10" t="s">
        <v>45</v>
      </c>
    </row>
    <row r="4" spans="1:21" ht="18" customHeight="1" x14ac:dyDescent="0.25">
      <c r="A4" s="32" t="s">
        <v>46</v>
      </c>
      <c r="C4" s="11">
        <v>1</v>
      </c>
      <c r="D4">
        <v>10</v>
      </c>
      <c r="E4">
        <v>1</v>
      </c>
      <c r="G4" s="4" t="s">
        <v>238</v>
      </c>
      <c r="H4" s="13"/>
      <c r="I4" s="13"/>
      <c r="K4" s="15">
        <f t="shared" ref="K4:K35" si="0">C4</f>
        <v>1</v>
      </c>
      <c r="L4" s="15">
        <f t="shared" ref="L4:L35" si="1">IF(AND(K4&gt;$R$6,K4&lt;=$R$4-$R$6),1,0)</f>
        <v>0</v>
      </c>
      <c r="M4" s="15">
        <f t="shared" ref="M4:M35" si="2">D4*L4</f>
        <v>0</v>
      </c>
      <c r="N4" s="15">
        <f t="shared" ref="N4:N35" si="3">E4*L4</f>
        <v>0</v>
      </c>
      <c r="Q4" s="5" t="s">
        <v>63</v>
      </c>
      <c r="R4" s="17">
        <f>COUNT($D$4:$D$53)</f>
        <v>50</v>
      </c>
      <c r="S4" s="17">
        <f>COUNT($E$4:$E$53)</f>
        <v>50</v>
      </c>
      <c r="T4" s="5" t="s">
        <v>64</v>
      </c>
    </row>
    <row r="5" spans="1:21" ht="18" customHeight="1" x14ac:dyDescent="0.25">
      <c r="A5" s="32"/>
      <c r="C5" s="11">
        <v>2</v>
      </c>
      <c r="D5">
        <v>11</v>
      </c>
      <c r="E5">
        <v>3</v>
      </c>
      <c r="G5" s="4" t="s">
        <v>239</v>
      </c>
      <c r="H5" s="13"/>
      <c r="I5" s="13"/>
      <c r="K5" s="15">
        <f t="shared" si="0"/>
        <v>2</v>
      </c>
      <c r="L5" s="15">
        <f t="shared" si="1"/>
        <v>0</v>
      </c>
      <c r="M5" s="15">
        <f t="shared" si="2"/>
        <v>0</v>
      </c>
      <c r="N5" s="15">
        <f t="shared" si="3"/>
        <v>0</v>
      </c>
      <c r="Q5" s="5" t="s">
        <v>247</v>
      </c>
      <c r="R5" s="27">
        <f>0.1*$R$4</f>
        <v>5</v>
      </c>
      <c r="S5" s="27">
        <f>0.1*$S$4</f>
        <v>5</v>
      </c>
      <c r="T5" s="5" t="s">
        <v>248</v>
      </c>
    </row>
    <row r="6" spans="1:21" ht="18" customHeight="1" x14ac:dyDescent="0.25">
      <c r="A6" s="32"/>
      <c r="C6" s="11">
        <v>3</v>
      </c>
      <c r="D6">
        <v>12</v>
      </c>
      <c r="E6">
        <v>4</v>
      </c>
      <c r="G6" s="4" t="s">
        <v>240</v>
      </c>
      <c r="H6" s="13"/>
      <c r="I6" s="13"/>
      <c r="K6" s="15">
        <f t="shared" si="0"/>
        <v>3</v>
      </c>
      <c r="L6" s="15">
        <f t="shared" si="1"/>
        <v>0</v>
      </c>
      <c r="M6" s="15">
        <f t="shared" si="2"/>
        <v>0</v>
      </c>
      <c r="N6" s="15">
        <f t="shared" si="3"/>
        <v>0</v>
      </c>
      <c r="Q6" s="5" t="s">
        <v>249</v>
      </c>
      <c r="R6" s="27">
        <f>INT($R$5)</f>
        <v>5</v>
      </c>
      <c r="S6" s="27">
        <f>INT($S$5)</f>
        <v>5</v>
      </c>
      <c r="T6" s="5" t="s">
        <v>250</v>
      </c>
    </row>
    <row r="7" spans="1:21" ht="18" customHeight="1" x14ac:dyDescent="0.25">
      <c r="A7" s="32"/>
      <c r="C7" s="11">
        <v>4</v>
      </c>
      <c r="D7">
        <v>15</v>
      </c>
      <c r="E7">
        <v>5</v>
      </c>
      <c r="G7" s="4" t="s">
        <v>241</v>
      </c>
      <c r="H7" s="14"/>
      <c r="I7" s="14"/>
      <c r="K7" s="15">
        <f t="shared" si="0"/>
        <v>4</v>
      </c>
      <c r="L7" s="15">
        <f t="shared" si="1"/>
        <v>0</v>
      </c>
      <c r="M7" s="15">
        <f t="shared" si="2"/>
        <v>0</v>
      </c>
      <c r="N7" s="15">
        <f t="shared" si="3"/>
        <v>0</v>
      </c>
      <c r="Q7" s="5" t="s">
        <v>251</v>
      </c>
      <c r="R7" s="17">
        <f>$R$4-2*$R$6</f>
        <v>40</v>
      </c>
      <c r="S7" s="17">
        <f>$S$4-2*$S$6</f>
        <v>40</v>
      </c>
      <c r="T7" s="5" t="s">
        <v>252</v>
      </c>
    </row>
    <row r="8" spans="1:21" ht="18" customHeight="1" x14ac:dyDescent="0.25">
      <c r="A8" s="32"/>
      <c r="C8" s="11">
        <v>5</v>
      </c>
      <c r="D8">
        <v>15</v>
      </c>
      <c r="E8">
        <v>5</v>
      </c>
      <c r="G8" s="4" t="s">
        <v>242</v>
      </c>
      <c r="H8" s="14"/>
      <c r="I8" s="14"/>
      <c r="K8" s="15">
        <f t="shared" si="0"/>
        <v>5</v>
      </c>
      <c r="L8" s="15">
        <f t="shared" si="1"/>
        <v>0</v>
      </c>
      <c r="M8" s="15">
        <f t="shared" si="2"/>
        <v>0</v>
      </c>
      <c r="N8" s="15">
        <f t="shared" si="3"/>
        <v>0</v>
      </c>
      <c r="Q8" s="5" t="s">
        <v>253</v>
      </c>
      <c r="R8" s="17">
        <f>SUM($M$4:$M$53)</f>
        <v>741</v>
      </c>
      <c r="S8" s="17">
        <f>SUM($N$4:$N$53)</f>
        <v>413</v>
      </c>
      <c r="T8" s="5" t="s">
        <v>124</v>
      </c>
    </row>
    <row r="9" spans="1:21" ht="18" customHeight="1" x14ac:dyDescent="0.25">
      <c r="A9" s="32"/>
      <c r="C9" s="11">
        <v>6</v>
      </c>
      <c r="D9">
        <v>15</v>
      </c>
      <c r="E9">
        <v>7</v>
      </c>
      <c r="K9" s="15">
        <f t="shared" si="0"/>
        <v>6</v>
      </c>
      <c r="L9" s="15">
        <f t="shared" si="1"/>
        <v>1</v>
      </c>
      <c r="M9" s="15">
        <f t="shared" si="2"/>
        <v>15</v>
      </c>
      <c r="N9" s="15">
        <f t="shared" si="3"/>
        <v>7</v>
      </c>
      <c r="Q9" s="5" t="s">
        <v>254</v>
      </c>
      <c r="R9" s="18">
        <f>$R$8/$R$7</f>
        <v>18.524999999999999</v>
      </c>
      <c r="S9" s="18">
        <f>$S$8/$S$7</f>
        <v>10.324999999999999</v>
      </c>
      <c r="T9" s="5" t="s">
        <v>255</v>
      </c>
    </row>
    <row r="10" spans="1:21" ht="18" customHeight="1" x14ac:dyDescent="0.25">
      <c r="C10" s="11">
        <v>7</v>
      </c>
      <c r="D10">
        <v>16</v>
      </c>
      <c r="E10">
        <v>7</v>
      </c>
      <c r="K10" s="15">
        <f t="shared" si="0"/>
        <v>7</v>
      </c>
      <c r="L10" s="15">
        <f t="shared" si="1"/>
        <v>1</v>
      </c>
      <c r="M10" s="15">
        <f t="shared" si="2"/>
        <v>16</v>
      </c>
      <c r="N10" s="15">
        <f t="shared" si="3"/>
        <v>7</v>
      </c>
      <c r="Q10" s="5" t="s">
        <v>256</v>
      </c>
      <c r="R10" s="18">
        <f>SUM($D$4:$D$53)/$R$4</f>
        <v>18.899999999999999</v>
      </c>
      <c r="S10" s="18">
        <f>SUM($E$4:$E$53)/$S$4</f>
        <v>10.199999999999999</v>
      </c>
      <c r="T10" s="5" t="s">
        <v>257</v>
      </c>
    </row>
    <row r="11" spans="1:21" ht="18" customHeight="1" x14ac:dyDescent="0.25">
      <c r="A11" s="32" t="s">
        <v>236</v>
      </c>
      <c r="C11" s="11">
        <v>8</v>
      </c>
      <c r="D11">
        <v>16</v>
      </c>
      <c r="E11">
        <v>7</v>
      </c>
      <c r="K11" s="15">
        <f t="shared" si="0"/>
        <v>8</v>
      </c>
      <c r="L11" s="15">
        <f t="shared" si="1"/>
        <v>1</v>
      </c>
      <c r="M11" s="15">
        <f t="shared" si="2"/>
        <v>16</v>
      </c>
      <c r="N11" s="15">
        <f t="shared" si="3"/>
        <v>7</v>
      </c>
      <c r="Q11" s="5" t="s">
        <v>258</v>
      </c>
      <c r="R11" s="18">
        <f>$R$9-$R$10</f>
        <v>-0.375</v>
      </c>
      <c r="S11" s="18">
        <f>$S$9-$S$10</f>
        <v>0.125</v>
      </c>
      <c r="T11" s="5" t="s">
        <v>259</v>
      </c>
    </row>
    <row r="12" spans="1:21" ht="18" customHeight="1" x14ac:dyDescent="0.25">
      <c r="A12" s="32"/>
      <c r="C12" s="11">
        <v>9</v>
      </c>
      <c r="D12">
        <v>16</v>
      </c>
      <c r="E12">
        <v>7</v>
      </c>
      <c r="K12" s="15">
        <f t="shared" si="0"/>
        <v>9</v>
      </c>
      <c r="L12" s="15">
        <f t="shared" si="1"/>
        <v>1</v>
      </c>
      <c r="M12" s="15">
        <f t="shared" si="2"/>
        <v>16</v>
      </c>
      <c r="N12" s="15">
        <f t="shared" si="3"/>
        <v>7</v>
      </c>
      <c r="Q12" s="16" t="s">
        <v>85</v>
      </c>
    </row>
    <row r="13" spans="1:21" ht="18" customHeight="1" x14ac:dyDescent="0.25">
      <c r="A13" s="32"/>
      <c r="C13" s="11">
        <v>10</v>
      </c>
      <c r="D13">
        <v>16</v>
      </c>
      <c r="E13">
        <v>8</v>
      </c>
      <c r="K13" s="15">
        <f t="shared" si="0"/>
        <v>10</v>
      </c>
      <c r="L13" s="15">
        <f t="shared" si="1"/>
        <v>1</v>
      </c>
      <c r="M13" s="15">
        <f t="shared" si="2"/>
        <v>16</v>
      </c>
      <c r="N13" s="15">
        <f t="shared" si="3"/>
        <v>8</v>
      </c>
      <c r="Q13" s="5" t="s">
        <v>260</v>
      </c>
      <c r="R13" s="19">
        <f>SUM($L$4:$L$53)</f>
        <v>40</v>
      </c>
      <c r="S13" s="19">
        <f>SUM($L$4:$L$53)</f>
        <v>40</v>
      </c>
      <c r="T13" s="5" t="s">
        <v>160</v>
      </c>
      <c r="U13" s="21" t="str">
        <f>IF(AND(ABS(R13-$R$7)&lt;0.000001,ABS(S13-$S$7)&lt;0.000001),"ano","ne")</f>
        <v>ano</v>
      </c>
    </row>
    <row r="14" spans="1:21" ht="18" customHeight="1" x14ac:dyDescent="0.25">
      <c r="A14" s="32"/>
      <c r="C14" s="11">
        <v>11</v>
      </c>
      <c r="D14">
        <v>17</v>
      </c>
      <c r="E14">
        <v>8</v>
      </c>
      <c r="K14" s="15">
        <f t="shared" si="0"/>
        <v>11</v>
      </c>
      <c r="L14" s="15">
        <f t="shared" si="1"/>
        <v>1</v>
      </c>
      <c r="M14" s="15">
        <f t="shared" si="2"/>
        <v>17</v>
      </c>
      <c r="N14" s="15">
        <f t="shared" si="3"/>
        <v>8</v>
      </c>
      <c r="Q14" s="5" t="s">
        <v>261</v>
      </c>
      <c r="R14" s="20">
        <f>TRIMMEAN($D$4:$D$53,0.2)</f>
        <v>18.524999999999999</v>
      </c>
      <c r="S14" s="20">
        <f>TRIMMEAN($E$4:$E$53,0.2)</f>
        <v>10.324999999999999</v>
      </c>
      <c r="T14" s="5" t="s">
        <v>262</v>
      </c>
      <c r="U14" s="21" t="str">
        <f>IF(AND(ABS(R14-$R$9)&lt;0.000001,ABS(S14-$S$9)&lt;0.000001),"ano","ne")</f>
        <v>ano</v>
      </c>
    </row>
    <row r="15" spans="1:21" ht="18" customHeight="1" x14ac:dyDescent="0.25">
      <c r="C15" s="11">
        <v>12</v>
      </c>
      <c r="D15">
        <v>17</v>
      </c>
      <c r="E15">
        <v>8</v>
      </c>
      <c r="K15" s="15">
        <f t="shared" si="0"/>
        <v>12</v>
      </c>
      <c r="L15" s="15">
        <f t="shared" si="1"/>
        <v>1</v>
      </c>
      <c r="M15" s="15">
        <f t="shared" si="2"/>
        <v>17</v>
      </c>
      <c r="N15" s="15">
        <f t="shared" si="3"/>
        <v>8</v>
      </c>
    </row>
    <row r="16" spans="1:21" ht="18" customHeight="1" x14ac:dyDescent="0.25">
      <c r="A16" s="34" t="s">
        <v>48</v>
      </c>
      <c r="C16" s="11">
        <v>13</v>
      </c>
      <c r="D16">
        <v>17</v>
      </c>
      <c r="E16">
        <v>8</v>
      </c>
      <c r="K16" s="15">
        <f t="shared" si="0"/>
        <v>13</v>
      </c>
      <c r="L16" s="15">
        <f t="shared" si="1"/>
        <v>1</v>
      </c>
      <c r="M16" s="15">
        <f t="shared" si="2"/>
        <v>17</v>
      </c>
      <c r="N16" s="15">
        <f t="shared" si="3"/>
        <v>8</v>
      </c>
      <c r="Q16" s="33" t="s">
        <v>92</v>
      </c>
      <c r="R16" s="33"/>
      <c r="S16" s="33"/>
      <c r="T16" s="33"/>
    </row>
    <row r="17" spans="1:20" ht="18" customHeight="1" x14ac:dyDescent="0.25">
      <c r="A17" s="32"/>
      <c r="C17" s="11">
        <v>14</v>
      </c>
      <c r="D17">
        <v>17</v>
      </c>
      <c r="E17">
        <v>9</v>
      </c>
      <c r="K17" s="15">
        <f t="shared" si="0"/>
        <v>14</v>
      </c>
      <c r="L17" s="15">
        <f t="shared" si="1"/>
        <v>1</v>
      </c>
      <c r="M17" s="15">
        <f t="shared" si="2"/>
        <v>17</v>
      </c>
      <c r="N17" s="15">
        <f t="shared" si="3"/>
        <v>9</v>
      </c>
      <c r="Q17" s="32" t="s">
        <v>263</v>
      </c>
      <c r="R17" s="32"/>
      <c r="S17" s="32"/>
      <c r="T17" s="32"/>
    </row>
    <row r="18" spans="1:20" ht="18" customHeight="1" x14ac:dyDescent="0.25">
      <c r="A18" s="32"/>
      <c r="C18" s="11">
        <v>15</v>
      </c>
      <c r="D18">
        <v>17</v>
      </c>
      <c r="E18">
        <v>9</v>
      </c>
      <c r="K18" s="15">
        <f t="shared" si="0"/>
        <v>15</v>
      </c>
      <c r="L18" s="15">
        <f t="shared" si="1"/>
        <v>1</v>
      </c>
      <c r="M18" s="15">
        <f t="shared" si="2"/>
        <v>17</v>
      </c>
      <c r="N18" s="15">
        <f t="shared" si="3"/>
        <v>9</v>
      </c>
      <c r="Q18" s="32"/>
      <c r="R18" s="32"/>
      <c r="S18" s="32"/>
      <c r="T18" s="32"/>
    </row>
    <row r="19" spans="1:20" ht="18" customHeight="1" x14ac:dyDescent="0.25">
      <c r="C19" s="11">
        <v>16</v>
      </c>
      <c r="D19">
        <v>17</v>
      </c>
      <c r="E19">
        <v>9</v>
      </c>
      <c r="K19" s="15">
        <f t="shared" si="0"/>
        <v>16</v>
      </c>
      <c r="L19" s="15">
        <f t="shared" si="1"/>
        <v>1</v>
      </c>
      <c r="M19" s="15">
        <f t="shared" si="2"/>
        <v>17</v>
      </c>
      <c r="N19" s="15">
        <f t="shared" si="3"/>
        <v>9</v>
      </c>
      <c r="Q19" s="32"/>
      <c r="R19" s="32"/>
      <c r="S19" s="32"/>
      <c r="T19" s="32"/>
    </row>
    <row r="20" spans="1:20" ht="18" customHeight="1" x14ac:dyDescent="0.25">
      <c r="A20" s="35" t="s">
        <v>237</v>
      </c>
      <c r="C20" s="11">
        <v>17</v>
      </c>
      <c r="D20">
        <v>18</v>
      </c>
      <c r="E20">
        <v>9</v>
      </c>
      <c r="K20" s="15">
        <f t="shared" si="0"/>
        <v>17</v>
      </c>
      <c r="L20" s="15">
        <f t="shared" si="1"/>
        <v>1</v>
      </c>
      <c r="M20" s="15">
        <f t="shared" si="2"/>
        <v>18</v>
      </c>
      <c r="N20" s="15">
        <f t="shared" si="3"/>
        <v>9</v>
      </c>
      <c r="Q20" s="32"/>
      <c r="R20" s="32"/>
      <c r="S20" s="32"/>
      <c r="T20" s="32"/>
    </row>
    <row r="21" spans="1:20" ht="18" customHeight="1" x14ac:dyDescent="0.25">
      <c r="A21" s="32"/>
      <c r="C21" s="11">
        <v>18</v>
      </c>
      <c r="D21">
        <v>18</v>
      </c>
      <c r="E21">
        <v>9</v>
      </c>
      <c r="K21" s="15">
        <f t="shared" si="0"/>
        <v>18</v>
      </c>
      <c r="L21" s="15">
        <f t="shared" si="1"/>
        <v>1</v>
      </c>
      <c r="M21" s="15">
        <f t="shared" si="2"/>
        <v>18</v>
      </c>
      <c r="N21" s="15">
        <f t="shared" si="3"/>
        <v>9</v>
      </c>
      <c r="Q21" s="32"/>
      <c r="R21" s="32"/>
      <c r="S21" s="32"/>
      <c r="T21" s="32"/>
    </row>
    <row r="22" spans="1:20" ht="18" customHeight="1" x14ac:dyDescent="0.25">
      <c r="C22" s="11">
        <v>19</v>
      </c>
      <c r="D22">
        <v>18</v>
      </c>
      <c r="E22">
        <v>9</v>
      </c>
      <c r="K22" s="15">
        <f t="shared" si="0"/>
        <v>19</v>
      </c>
      <c r="L22" s="15">
        <f t="shared" si="1"/>
        <v>1</v>
      </c>
      <c r="M22" s="15">
        <f t="shared" si="2"/>
        <v>18</v>
      </c>
      <c r="N22" s="15">
        <f t="shared" si="3"/>
        <v>9</v>
      </c>
      <c r="Q22" s="32"/>
      <c r="R22" s="32"/>
      <c r="S22" s="32"/>
      <c r="T22" s="32"/>
    </row>
    <row r="23" spans="1:20" ht="18" customHeight="1" x14ac:dyDescent="0.25">
      <c r="C23" s="11">
        <v>20</v>
      </c>
      <c r="D23">
        <v>18</v>
      </c>
      <c r="E23">
        <v>9</v>
      </c>
      <c r="K23" s="15">
        <f t="shared" si="0"/>
        <v>20</v>
      </c>
      <c r="L23" s="15">
        <f t="shared" si="1"/>
        <v>1</v>
      </c>
      <c r="M23" s="15">
        <f t="shared" si="2"/>
        <v>18</v>
      </c>
      <c r="N23" s="15">
        <f t="shared" si="3"/>
        <v>9</v>
      </c>
      <c r="Q23" s="32"/>
      <c r="R23" s="32"/>
      <c r="S23" s="32"/>
      <c r="T23" s="32"/>
    </row>
    <row r="24" spans="1:20" ht="18" customHeight="1" x14ac:dyDescent="0.25">
      <c r="C24" s="11">
        <v>21</v>
      </c>
      <c r="D24">
        <v>18</v>
      </c>
      <c r="E24">
        <v>10</v>
      </c>
      <c r="K24" s="15">
        <f t="shared" si="0"/>
        <v>21</v>
      </c>
      <c r="L24" s="15">
        <f t="shared" si="1"/>
        <v>1</v>
      </c>
      <c r="M24" s="15">
        <f t="shared" si="2"/>
        <v>18</v>
      </c>
      <c r="N24" s="15">
        <f t="shared" si="3"/>
        <v>10</v>
      </c>
      <c r="Q24" s="32"/>
      <c r="R24" s="32"/>
      <c r="S24" s="32"/>
      <c r="T24" s="32"/>
    </row>
    <row r="25" spans="1:20" ht="18" customHeight="1" x14ac:dyDescent="0.25">
      <c r="A25" s="10" t="s">
        <v>55</v>
      </c>
      <c r="C25" s="11">
        <v>22</v>
      </c>
      <c r="D25">
        <v>18</v>
      </c>
      <c r="E25">
        <v>10</v>
      </c>
      <c r="K25" s="15">
        <f t="shared" si="0"/>
        <v>22</v>
      </c>
      <c r="L25" s="15">
        <f t="shared" si="1"/>
        <v>1</v>
      </c>
      <c r="M25" s="15">
        <f t="shared" si="2"/>
        <v>18</v>
      </c>
      <c r="N25" s="15">
        <f t="shared" si="3"/>
        <v>10</v>
      </c>
      <c r="Q25" s="32"/>
      <c r="R25" s="32"/>
      <c r="S25" s="32"/>
      <c r="T25" s="32"/>
    </row>
    <row r="26" spans="1:20" ht="18" customHeight="1" x14ac:dyDescent="0.25">
      <c r="C26" s="11">
        <v>23</v>
      </c>
      <c r="D26">
        <v>18</v>
      </c>
      <c r="E26">
        <v>10</v>
      </c>
      <c r="K26" s="15">
        <f t="shared" si="0"/>
        <v>23</v>
      </c>
      <c r="L26" s="15">
        <f t="shared" si="1"/>
        <v>1</v>
      </c>
      <c r="M26" s="15">
        <f t="shared" si="2"/>
        <v>18</v>
      </c>
      <c r="N26" s="15">
        <f t="shared" si="3"/>
        <v>10</v>
      </c>
      <c r="Q26" s="32"/>
      <c r="R26" s="32"/>
      <c r="S26" s="32"/>
      <c r="T26" s="32"/>
    </row>
    <row r="27" spans="1:20" ht="18" customHeight="1" x14ac:dyDescent="0.25">
      <c r="C27" s="11">
        <v>24</v>
      </c>
      <c r="D27">
        <v>18</v>
      </c>
      <c r="E27">
        <v>10</v>
      </c>
      <c r="K27" s="15">
        <f t="shared" si="0"/>
        <v>24</v>
      </c>
      <c r="L27" s="15">
        <f t="shared" si="1"/>
        <v>1</v>
      </c>
      <c r="M27" s="15">
        <f t="shared" si="2"/>
        <v>18</v>
      </c>
      <c r="N27" s="15">
        <f t="shared" si="3"/>
        <v>10</v>
      </c>
      <c r="Q27" s="32"/>
      <c r="R27" s="32"/>
      <c r="S27" s="32"/>
      <c r="T27" s="32"/>
    </row>
    <row r="28" spans="1:20" ht="18" customHeight="1" x14ac:dyDescent="0.25">
      <c r="C28" s="11">
        <v>25</v>
      </c>
      <c r="D28">
        <v>18</v>
      </c>
      <c r="E28">
        <v>10</v>
      </c>
      <c r="K28" s="15">
        <f t="shared" si="0"/>
        <v>25</v>
      </c>
      <c r="L28" s="15">
        <f t="shared" si="1"/>
        <v>1</v>
      </c>
      <c r="M28" s="15">
        <f t="shared" si="2"/>
        <v>18</v>
      </c>
      <c r="N28" s="15">
        <f t="shared" si="3"/>
        <v>10</v>
      </c>
      <c r="Q28" s="32"/>
      <c r="R28" s="32"/>
      <c r="S28" s="32"/>
      <c r="T28" s="32"/>
    </row>
    <row r="29" spans="1:20" ht="18" customHeight="1" x14ac:dyDescent="0.25">
      <c r="A29" s="35" t="s">
        <v>243</v>
      </c>
      <c r="C29" s="11">
        <v>26</v>
      </c>
      <c r="D29">
        <v>18</v>
      </c>
      <c r="E29">
        <v>10</v>
      </c>
      <c r="K29" s="15">
        <f t="shared" si="0"/>
        <v>26</v>
      </c>
      <c r="L29" s="15">
        <f t="shared" si="1"/>
        <v>1</v>
      </c>
      <c r="M29" s="15">
        <f t="shared" si="2"/>
        <v>18</v>
      </c>
      <c r="N29" s="15">
        <f t="shared" si="3"/>
        <v>10</v>
      </c>
      <c r="Q29" s="32"/>
      <c r="R29" s="32"/>
      <c r="S29" s="32"/>
      <c r="T29" s="32"/>
    </row>
    <row r="30" spans="1:20" ht="18" customHeight="1" x14ac:dyDescent="0.25">
      <c r="A30" s="32"/>
      <c r="C30" s="11">
        <v>27</v>
      </c>
      <c r="D30">
        <v>19</v>
      </c>
      <c r="E30">
        <v>10</v>
      </c>
      <c r="K30" s="15">
        <f t="shared" si="0"/>
        <v>27</v>
      </c>
      <c r="L30" s="15">
        <f t="shared" si="1"/>
        <v>1</v>
      </c>
      <c r="M30" s="15">
        <f t="shared" si="2"/>
        <v>19</v>
      </c>
      <c r="N30" s="15">
        <f t="shared" si="3"/>
        <v>10</v>
      </c>
    </row>
    <row r="31" spans="1:20" ht="18" customHeight="1" x14ac:dyDescent="0.25">
      <c r="A31" s="32"/>
      <c r="C31" s="11">
        <v>28</v>
      </c>
      <c r="D31">
        <v>19</v>
      </c>
      <c r="E31">
        <v>10</v>
      </c>
      <c r="K31" s="15">
        <f t="shared" si="0"/>
        <v>28</v>
      </c>
      <c r="L31" s="15">
        <f t="shared" si="1"/>
        <v>1</v>
      </c>
      <c r="M31" s="15">
        <f t="shared" si="2"/>
        <v>19</v>
      </c>
      <c r="N31" s="15">
        <f t="shared" si="3"/>
        <v>10</v>
      </c>
    </row>
    <row r="32" spans="1:20" ht="18" customHeight="1" x14ac:dyDescent="0.25">
      <c r="A32" s="32"/>
      <c r="C32" s="11">
        <v>29</v>
      </c>
      <c r="D32">
        <v>19</v>
      </c>
      <c r="E32">
        <v>11</v>
      </c>
      <c r="K32" s="15">
        <f t="shared" si="0"/>
        <v>29</v>
      </c>
      <c r="L32" s="15">
        <f t="shared" si="1"/>
        <v>1</v>
      </c>
      <c r="M32" s="15">
        <f t="shared" si="2"/>
        <v>19</v>
      </c>
      <c r="N32" s="15">
        <f t="shared" si="3"/>
        <v>11</v>
      </c>
    </row>
    <row r="33" spans="3:14" ht="18" customHeight="1" x14ac:dyDescent="0.25">
      <c r="C33" s="11">
        <v>30</v>
      </c>
      <c r="D33">
        <v>19</v>
      </c>
      <c r="E33">
        <v>11</v>
      </c>
      <c r="K33" s="15">
        <f t="shared" si="0"/>
        <v>30</v>
      </c>
      <c r="L33" s="15">
        <f t="shared" si="1"/>
        <v>1</v>
      </c>
      <c r="M33" s="15">
        <f t="shared" si="2"/>
        <v>19</v>
      </c>
      <c r="N33" s="15">
        <f t="shared" si="3"/>
        <v>11</v>
      </c>
    </row>
    <row r="34" spans="3:14" ht="18" customHeight="1" x14ac:dyDescent="0.25">
      <c r="C34" s="11">
        <v>31</v>
      </c>
      <c r="D34">
        <v>19</v>
      </c>
      <c r="E34">
        <v>11</v>
      </c>
      <c r="K34" s="15">
        <f t="shared" si="0"/>
        <v>31</v>
      </c>
      <c r="L34" s="15">
        <f t="shared" si="1"/>
        <v>1</v>
      </c>
      <c r="M34" s="15">
        <f t="shared" si="2"/>
        <v>19</v>
      </c>
      <c r="N34" s="15">
        <f t="shared" si="3"/>
        <v>11</v>
      </c>
    </row>
    <row r="35" spans="3:14" ht="18" customHeight="1" x14ac:dyDescent="0.25">
      <c r="C35" s="11">
        <v>32</v>
      </c>
      <c r="D35">
        <v>19</v>
      </c>
      <c r="E35">
        <v>11</v>
      </c>
      <c r="K35" s="15">
        <f t="shared" si="0"/>
        <v>32</v>
      </c>
      <c r="L35" s="15">
        <f t="shared" si="1"/>
        <v>1</v>
      </c>
      <c r="M35" s="15">
        <f t="shared" si="2"/>
        <v>19</v>
      </c>
      <c r="N35" s="15">
        <f t="shared" si="3"/>
        <v>11</v>
      </c>
    </row>
    <row r="36" spans="3:14" ht="18" customHeight="1" x14ac:dyDescent="0.25">
      <c r="C36" s="11">
        <v>33</v>
      </c>
      <c r="D36">
        <v>19</v>
      </c>
      <c r="E36">
        <v>11</v>
      </c>
      <c r="K36" s="15">
        <f t="shared" ref="K36:K53" si="4">C36</f>
        <v>33</v>
      </c>
      <c r="L36" s="15">
        <f t="shared" ref="L36:L67" si="5">IF(AND(K36&gt;$R$6,K36&lt;=$R$4-$R$6),1,0)</f>
        <v>1</v>
      </c>
      <c r="M36" s="15">
        <f t="shared" ref="M36:M67" si="6">D36*L36</f>
        <v>19</v>
      </c>
      <c r="N36" s="15">
        <f t="shared" ref="N36:N53" si="7">E36*L36</f>
        <v>11</v>
      </c>
    </row>
    <row r="37" spans="3:14" ht="18" customHeight="1" x14ac:dyDescent="0.25">
      <c r="C37" s="11">
        <v>34</v>
      </c>
      <c r="D37">
        <v>20</v>
      </c>
      <c r="E37">
        <v>11</v>
      </c>
      <c r="K37" s="15">
        <f t="shared" si="4"/>
        <v>34</v>
      </c>
      <c r="L37" s="15">
        <f t="shared" si="5"/>
        <v>1</v>
      </c>
      <c r="M37" s="15">
        <f t="shared" si="6"/>
        <v>20</v>
      </c>
      <c r="N37" s="15">
        <f t="shared" si="7"/>
        <v>11</v>
      </c>
    </row>
    <row r="38" spans="3:14" ht="18" customHeight="1" x14ac:dyDescent="0.25">
      <c r="C38" s="11">
        <v>35</v>
      </c>
      <c r="D38">
        <v>20</v>
      </c>
      <c r="E38">
        <v>12</v>
      </c>
      <c r="K38" s="15">
        <f t="shared" si="4"/>
        <v>35</v>
      </c>
      <c r="L38" s="15">
        <f t="shared" si="5"/>
        <v>1</v>
      </c>
      <c r="M38" s="15">
        <f t="shared" si="6"/>
        <v>20</v>
      </c>
      <c r="N38" s="15">
        <f t="shared" si="7"/>
        <v>12</v>
      </c>
    </row>
    <row r="39" spans="3:14" ht="18" customHeight="1" x14ac:dyDescent="0.25">
      <c r="C39" s="11">
        <v>36</v>
      </c>
      <c r="D39">
        <v>20</v>
      </c>
      <c r="E39">
        <v>12</v>
      </c>
      <c r="K39" s="15">
        <f t="shared" si="4"/>
        <v>36</v>
      </c>
      <c r="L39" s="15">
        <f t="shared" si="5"/>
        <v>1</v>
      </c>
      <c r="M39" s="15">
        <f t="shared" si="6"/>
        <v>20</v>
      </c>
      <c r="N39" s="15">
        <f t="shared" si="7"/>
        <v>12</v>
      </c>
    </row>
    <row r="40" spans="3:14" ht="18" customHeight="1" x14ac:dyDescent="0.25">
      <c r="C40" s="11">
        <v>37</v>
      </c>
      <c r="D40">
        <v>20</v>
      </c>
      <c r="E40">
        <v>12</v>
      </c>
      <c r="K40" s="15">
        <f t="shared" si="4"/>
        <v>37</v>
      </c>
      <c r="L40" s="15">
        <f t="shared" si="5"/>
        <v>1</v>
      </c>
      <c r="M40" s="15">
        <f t="shared" si="6"/>
        <v>20</v>
      </c>
      <c r="N40" s="15">
        <f t="shared" si="7"/>
        <v>12</v>
      </c>
    </row>
    <row r="41" spans="3:14" ht="18" customHeight="1" x14ac:dyDescent="0.25">
      <c r="C41" s="11">
        <v>38</v>
      </c>
      <c r="D41">
        <v>20</v>
      </c>
      <c r="E41">
        <v>12</v>
      </c>
      <c r="K41" s="15">
        <f t="shared" si="4"/>
        <v>38</v>
      </c>
      <c r="L41" s="15">
        <f t="shared" si="5"/>
        <v>1</v>
      </c>
      <c r="M41" s="15">
        <f t="shared" si="6"/>
        <v>20</v>
      </c>
      <c r="N41" s="15">
        <f t="shared" si="7"/>
        <v>12</v>
      </c>
    </row>
    <row r="42" spans="3:14" ht="18" customHeight="1" x14ac:dyDescent="0.25">
      <c r="C42" s="11">
        <v>39</v>
      </c>
      <c r="D42">
        <v>20</v>
      </c>
      <c r="E42">
        <v>12</v>
      </c>
      <c r="K42" s="15">
        <f t="shared" si="4"/>
        <v>39</v>
      </c>
      <c r="L42" s="15">
        <f t="shared" si="5"/>
        <v>1</v>
      </c>
      <c r="M42" s="15">
        <f t="shared" si="6"/>
        <v>20</v>
      </c>
      <c r="N42" s="15">
        <f t="shared" si="7"/>
        <v>12</v>
      </c>
    </row>
    <row r="43" spans="3:14" ht="18" customHeight="1" x14ac:dyDescent="0.25">
      <c r="C43" s="11">
        <v>40</v>
      </c>
      <c r="D43">
        <v>20</v>
      </c>
      <c r="E43">
        <v>13</v>
      </c>
      <c r="K43" s="15">
        <f t="shared" si="4"/>
        <v>40</v>
      </c>
      <c r="L43" s="15">
        <f t="shared" si="5"/>
        <v>1</v>
      </c>
      <c r="M43" s="15">
        <f t="shared" si="6"/>
        <v>20</v>
      </c>
      <c r="N43" s="15">
        <f t="shared" si="7"/>
        <v>13</v>
      </c>
    </row>
    <row r="44" spans="3:14" ht="18" customHeight="1" x14ac:dyDescent="0.25">
      <c r="C44" s="11">
        <v>41</v>
      </c>
      <c r="D44">
        <v>21</v>
      </c>
      <c r="E44">
        <v>14</v>
      </c>
      <c r="K44" s="15">
        <f t="shared" si="4"/>
        <v>41</v>
      </c>
      <c r="L44" s="15">
        <f t="shared" si="5"/>
        <v>1</v>
      </c>
      <c r="M44" s="15">
        <f t="shared" si="6"/>
        <v>21</v>
      </c>
      <c r="N44" s="15">
        <f t="shared" si="7"/>
        <v>14</v>
      </c>
    </row>
    <row r="45" spans="3:14" ht="18" customHeight="1" x14ac:dyDescent="0.25">
      <c r="C45" s="11">
        <v>42</v>
      </c>
      <c r="D45">
        <v>21</v>
      </c>
      <c r="E45">
        <v>14</v>
      </c>
      <c r="K45" s="15">
        <f t="shared" si="4"/>
        <v>42</v>
      </c>
      <c r="L45" s="15">
        <f t="shared" si="5"/>
        <v>1</v>
      </c>
      <c r="M45" s="15">
        <f t="shared" si="6"/>
        <v>21</v>
      </c>
      <c r="N45" s="15">
        <f t="shared" si="7"/>
        <v>14</v>
      </c>
    </row>
    <row r="46" spans="3:14" ht="18" customHeight="1" x14ac:dyDescent="0.25">
      <c r="C46" s="11">
        <v>43</v>
      </c>
      <c r="D46">
        <v>21</v>
      </c>
      <c r="E46">
        <v>14</v>
      </c>
      <c r="K46" s="15">
        <f t="shared" si="4"/>
        <v>43</v>
      </c>
      <c r="L46" s="15">
        <f t="shared" si="5"/>
        <v>1</v>
      </c>
      <c r="M46" s="15">
        <f t="shared" si="6"/>
        <v>21</v>
      </c>
      <c r="N46" s="15">
        <f t="shared" si="7"/>
        <v>14</v>
      </c>
    </row>
    <row r="47" spans="3:14" ht="18" customHeight="1" x14ac:dyDescent="0.25">
      <c r="C47" s="11">
        <v>44</v>
      </c>
      <c r="D47">
        <v>22</v>
      </c>
      <c r="E47">
        <v>14</v>
      </c>
      <c r="K47" s="15">
        <f t="shared" si="4"/>
        <v>44</v>
      </c>
      <c r="L47" s="15">
        <f t="shared" si="5"/>
        <v>1</v>
      </c>
      <c r="M47" s="15">
        <f t="shared" si="6"/>
        <v>22</v>
      </c>
      <c r="N47" s="15">
        <f t="shared" si="7"/>
        <v>14</v>
      </c>
    </row>
    <row r="48" spans="3:14" ht="18" customHeight="1" x14ac:dyDescent="0.25">
      <c r="C48" s="11">
        <v>45</v>
      </c>
      <c r="D48">
        <v>22</v>
      </c>
      <c r="E48">
        <v>15</v>
      </c>
      <c r="K48" s="15">
        <f t="shared" si="4"/>
        <v>45</v>
      </c>
      <c r="L48" s="15">
        <f t="shared" si="5"/>
        <v>1</v>
      </c>
      <c r="M48" s="15">
        <f t="shared" si="6"/>
        <v>22</v>
      </c>
      <c r="N48" s="15">
        <f t="shared" si="7"/>
        <v>15</v>
      </c>
    </row>
    <row r="49" spans="3:14" ht="18" customHeight="1" x14ac:dyDescent="0.25">
      <c r="C49" s="11">
        <v>46</v>
      </c>
      <c r="D49">
        <v>23</v>
      </c>
      <c r="E49">
        <v>15</v>
      </c>
      <c r="K49" s="15">
        <f t="shared" si="4"/>
        <v>46</v>
      </c>
      <c r="L49" s="15">
        <f t="shared" si="5"/>
        <v>0</v>
      </c>
      <c r="M49" s="15">
        <f t="shared" si="6"/>
        <v>0</v>
      </c>
      <c r="N49" s="15">
        <f t="shared" si="7"/>
        <v>0</v>
      </c>
    </row>
    <row r="50" spans="3:14" ht="18" customHeight="1" x14ac:dyDescent="0.25">
      <c r="C50" s="11">
        <v>47</v>
      </c>
      <c r="D50">
        <v>23</v>
      </c>
      <c r="E50">
        <v>15</v>
      </c>
      <c r="K50" s="15">
        <f t="shared" si="4"/>
        <v>47</v>
      </c>
      <c r="L50" s="15">
        <f t="shared" si="5"/>
        <v>0</v>
      </c>
      <c r="M50" s="15">
        <f t="shared" si="6"/>
        <v>0</v>
      </c>
      <c r="N50" s="15">
        <f t="shared" si="7"/>
        <v>0</v>
      </c>
    </row>
    <row r="51" spans="3:14" ht="18" customHeight="1" x14ac:dyDescent="0.25">
      <c r="C51" s="11">
        <v>48</v>
      </c>
      <c r="D51">
        <v>24</v>
      </c>
      <c r="E51">
        <v>16</v>
      </c>
      <c r="K51" s="15">
        <f t="shared" si="4"/>
        <v>48</v>
      </c>
      <c r="L51" s="15">
        <f t="shared" si="5"/>
        <v>0</v>
      </c>
      <c r="M51" s="15">
        <f t="shared" si="6"/>
        <v>0</v>
      </c>
      <c r="N51" s="15">
        <f t="shared" si="7"/>
        <v>0</v>
      </c>
    </row>
    <row r="52" spans="3:14" ht="18" customHeight="1" x14ac:dyDescent="0.25">
      <c r="C52" s="11">
        <v>49</v>
      </c>
      <c r="D52">
        <v>31</v>
      </c>
      <c r="E52">
        <v>16</v>
      </c>
      <c r="K52" s="15">
        <f t="shared" si="4"/>
        <v>49</v>
      </c>
      <c r="L52" s="15">
        <f t="shared" si="5"/>
        <v>0</v>
      </c>
      <c r="M52" s="15">
        <f t="shared" si="6"/>
        <v>0</v>
      </c>
      <c r="N52" s="15">
        <f t="shared" si="7"/>
        <v>0</v>
      </c>
    </row>
    <row r="53" spans="3:14" ht="18" customHeight="1" x14ac:dyDescent="0.25">
      <c r="C53" s="11">
        <v>50</v>
      </c>
      <c r="D53">
        <v>40</v>
      </c>
      <c r="E53">
        <v>17</v>
      </c>
      <c r="K53" s="15">
        <f t="shared" si="4"/>
        <v>50</v>
      </c>
      <c r="L53" s="15">
        <f t="shared" si="5"/>
        <v>0</v>
      </c>
      <c r="M53" s="15">
        <f t="shared" si="6"/>
        <v>0</v>
      </c>
      <c r="N53" s="15">
        <f t="shared" si="7"/>
        <v>0</v>
      </c>
    </row>
  </sheetData>
  <mergeCells count="7">
    <mergeCell ref="Q16:T16"/>
    <mergeCell ref="Q17:T29"/>
    <mergeCell ref="A4:A9"/>
    <mergeCell ref="A11:A14"/>
    <mergeCell ref="A16:A18"/>
    <mergeCell ref="A20:A21"/>
    <mergeCell ref="A29:A32"/>
  </mergeCells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4A7E-2F96-4AB9-96A7-4E5CEE48C995}">
  <dimension ref="A1:U53"/>
  <sheetViews>
    <sheetView workbookViewId="0">
      <pane ySplit="3" topLeftCell="A4" activePane="bottomLeft" state="frozenSplit"/>
      <selection pane="bottomLeft"/>
    </sheetView>
  </sheetViews>
  <sheetFormatPr defaultRowHeight="14.3" x14ac:dyDescent="0.25"/>
  <cols>
    <col min="1" max="1" width="54.625" customWidth="1"/>
    <col min="2" max="2" width="2.625" customWidth="1"/>
    <col min="3" max="3" width="8.625" customWidth="1"/>
    <col min="4" max="5" width="11.625" customWidth="1"/>
    <col min="6" max="6" width="2.625" customWidth="1"/>
    <col min="7" max="7" width="40.625" customWidth="1"/>
    <col min="8" max="8" width="11.625" customWidth="1"/>
    <col min="9" max="10" width="2.625" customWidth="1"/>
    <col min="11" max="11" width="9.625" customWidth="1"/>
    <col min="12" max="15" width="13.625" customWidth="1"/>
    <col min="16" max="16" width="2.625" customWidth="1"/>
    <col min="17" max="17" width="60.625" customWidth="1"/>
    <col min="18" max="18" width="12.625" customWidth="1"/>
    <col min="19" max="19" width="2.625" customWidth="1"/>
    <col min="20" max="20" width="50.625" customWidth="1"/>
    <col min="21" max="21" width="13.625" customWidth="1"/>
  </cols>
  <sheetData>
    <row r="1" spans="1:21" ht="19.05" x14ac:dyDescent="0.25">
      <c r="A1" s="1" t="s">
        <v>264</v>
      </c>
    </row>
    <row r="2" spans="1:21" x14ac:dyDescent="0.25">
      <c r="A2" s="2" t="s">
        <v>265</v>
      </c>
    </row>
    <row r="3" spans="1:21" ht="46.05" customHeight="1" x14ac:dyDescent="0.25">
      <c r="A3" s="3" t="s">
        <v>38</v>
      </c>
      <c r="C3" s="3" t="s">
        <v>266</v>
      </c>
      <c r="D3" s="3" t="s">
        <v>58</v>
      </c>
      <c r="E3" s="3" t="s">
        <v>267</v>
      </c>
      <c r="G3" s="3" t="s">
        <v>42</v>
      </c>
      <c r="H3" s="3" t="s">
        <v>268</v>
      </c>
      <c r="K3" s="10" t="s">
        <v>266</v>
      </c>
      <c r="L3" s="10" t="s">
        <v>279</v>
      </c>
      <c r="M3" s="10" t="s">
        <v>280</v>
      </c>
      <c r="N3" s="10" t="s">
        <v>267</v>
      </c>
      <c r="O3" s="10" t="s">
        <v>281</v>
      </c>
      <c r="Q3" s="10" t="s">
        <v>43</v>
      </c>
      <c r="R3" s="10" t="s">
        <v>268</v>
      </c>
      <c r="T3" s="10" t="s">
        <v>269</v>
      </c>
      <c r="U3" s="10" t="s">
        <v>45</v>
      </c>
    </row>
    <row r="4" spans="1:21" ht="18" customHeight="1" x14ac:dyDescent="0.25">
      <c r="A4" s="32" t="s">
        <v>270</v>
      </c>
      <c r="C4" s="11">
        <v>1</v>
      </c>
      <c r="D4">
        <v>5</v>
      </c>
      <c r="E4" s="13"/>
      <c r="G4" s="4" t="s">
        <v>272</v>
      </c>
      <c r="H4" s="14"/>
      <c r="K4" s="15">
        <f t="shared" ref="K4:K11" si="0">C4</f>
        <v>1</v>
      </c>
      <c r="L4" s="29">
        <f t="shared" ref="L4:L11" si="1">D4-$R$5</f>
        <v>-1.875</v>
      </c>
      <c r="M4" s="29">
        <f t="shared" ref="M4:M11" si="2">L4^2</f>
        <v>3.515625</v>
      </c>
      <c r="N4" s="22">
        <f t="shared" ref="N4:N11" si="3">D4*$R$10</f>
        <v>2.3807595834800255</v>
      </c>
      <c r="O4" s="29">
        <f t="shared" ref="O4:O11" si="4">(N4-$R$11)^2</f>
        <v>0.79706477732793546</v>
      </c>
      <c r="Q4" s="5" t="s">
        <v>63</v>
      </c>
      <c r="R4" s="17">
        <f>COUNT($D$4:$D$11)</f>
        <v>8</v>
      </c>
      <c r="T4" s="5" t="s">
        <v>282</v>
      </c>
    </row>
    <row r="5" spans="1:21" ht="18" customHeight="1" x14ac:dyDescent="0.25">
      <c r="A5" s="32"/>
      <c r="C5" s="11">
        <v>2</v>
      </c>
      <c r="D5">
        <v>8</v>
      </c>
      <c r="E5" s="13"/>
      <c r="G5" s="4" t="s">
        <v>100</v>
      </c>
      <c r="H5" s="14"/>
      <c r="K5" s="15">
        <f t="shared" si="0"/>
        <v>2</v>
      </c>
      <c r="L5" s="29">
        <f t="shared" si="1"/>
        <v>1.125</v>
      </c>
      <c r="M5" s="29">
        <f t="shared" si="2"/>
        <v>1.265625</v>
      </c>
      <c r="N5" s="22">
        <f t="shared" si="3"/>
        <v>3.8092153335680408</v>
      </c>
      <c r="O5" s="29">
        <f t="shared" si="4"/>
        <v>0.2869433198380566</v>
      </c>
      <c r="Q5" s="5" t="s">
        <v>283</v>
      </c>
      <c r="R5" s="26">
        <f>SUM($D$4:$D$11)/$R$4</f>
        <v>6.875</v>
      </c>
      <c r="T5" s="5" t="s">
        <v>284</v>
      </c>
    </row>
    <row r="6" spans="1:21" ht="18" customHeight="1" x14ac:dyDescent="0.25">
      <c r="A6" s="32"/>
      <c r="C6" s="11">
        <v>3</v>
      </c>
      <c r="D6">
        <v>3</v>
      </c>
      <c r="E6" s="13"/>
      <c r="G6" s="4" t="s">
        <v>273</v>
      </c>
      <c r="H6" s="14"/>
      <c r="K6" s="15">
        <f t="shared" si="0"/>
        <v>3</v>
      </c>
      <c r="L6" s="29">
        <f t="shared" si="1"/>
        <v>-3.875</v>
      </c>
      <c r="M6" s="29">
        <f t="shared" si="2"/>
        <v>15.015625</v>
      </c>
      <c r="N6" s="22">
        <f t="shared" si="3"/>
        <v>1.4284557500880153</v>
      </c>
      <c r="O6" s="29">
        <f t="shared" si="4"/>
        <v>3.4043522267206487</v>
      </c>
      <c r="Q6" s="5" t="s">
        <v>285</v>
      </c>
      <c r="R6" s="26">
        <f>SUM($M$4:$M$11)</f>
        <v>30.875</v>
      </c>
      <c r="T6" s="5" t="s">
        <v>286</v>
      </c>
    </row>
    <row r="7" spans="1:21" ht="18" customHeight="1" x14ac:dyDescent="0.25">
      <c r="A7" s="32"/>
      <c r="C7" s="11">
        <v>4</v>
      </c>
      <c r="D7">
        <v>8</v>
      </c>
      <c r="E7" s="13"/>
      <c r="G7" s="4" t="s">
        <v>274</v>
      </c>
      <c r="H7" s="28"/>
      <c r="K7" s="15">
        <f t="shared" si="0"/>
        <v>4</v>
      </c>
      <c r="L7" s="29">
        <f t="shared" si="1"/>
        <v>1.125</v>
      </c>
      <c r="M7" s="29">
        <f t="shared" si="2"/>
        <v>1.265625</v>
      </c>
      <c r="N7" s="22">
        <f t="shared" si="3"/>
        <v>3.8092153335680408</v>
      </c>
      <c r="O7" s="29">
        <f t="shared" si="4"/>
        <v>0.2869433198380566</v>
      </c>
      <c r="Q7" s="5" t="s">
        <v>287</v>
      </c>
      <c r="R7" s="26">
        <f>$R$6/($R$4-1)</f>
        <v>4.4107142857142856</v>
      </c>
      <c r="T7" s="5" t="s">
        <v>288</v>
      </c>
    </row>
    <row r="8" spans="1:21" ht="18" customHeight="1" x14ac:dyDescent="0.25">
      <c r="A8" s="32"/>
      <c r="C8" s="11">
        <v>5</v>
      </c>
      <c r="D8">
        <v>6</v>
      </c>
      <c r="E8" s="13"/>
      <c r="G8" s="4" t="s">
        <v>275</v>
      </c>
      <c r="H8" s="14"/>
      <c r="K8" s="15">
        <f t="shared" si="0"/>
        <v>5</v>
      </c>
      <c r="L8" s="29">
        <f t="shared" si="1"/>
        <v>-0.875</v>
      </c>
      <c r="M8" s="29">
        <f t="shared" si="2"/>
        <v>0.765625</v>
      </c>
      <c r="N8" s="22">
        <f t="shared" si="3"/>
        <v>2.8569115001760306</v>
      </c>
      <c r="O8" s="29">
        <f t="shared" si="4"/>
        <v>0.1735829959514171</v>
      </c>
      <c r="Q8" s="5" t="s">
        <v>289</v>
      </c>
      <c r="R8" s="26">
        <f>SQRT($R$7)</f>
        <v>2.1001700611413079</v>
      </c>
      <c r="T8" s="5" t="s">
        <v>290</v>
      </c>
    </row>
    <row r="9" spans="1:21" ht="18" customHeight="1" x14ac:dyDescent="0.25">
      <c r="A9" s="32"/>
      <c r="C9" s="11">
        <v>6</v>
      </c>
      <c r="D9">
        <v>9</v>
      </c>
      <c r="E9" s="13"/>
      <c r="G9" s="4" t="s">
        <v>276</v>
      </c>
      <c r="H9" s="14"/>
      <c r="K9" s="15">
        <f t="shared" si="0"/>
        <v>6</v>
      </c>
      <c r="L9" s="29">
        <f t="shared" si="1"/>
        <v>2.125</v>
      </c>
      <c r="M9" s="29">
        <f t="shared" si="2"/>
        <v>4.515625</v>
      </c>
      <c r="N9" s="22">
        <f t="shared" si="3"/>
        <v>4.2853672502640459</v>
      </c>
      <c r="O9" s="29">
        <f t="shared" si="4"/>
        <v>1.0237854251012144</v>
      </c>
      <c r="Q9" s="16" t="s">
        <v>291</v>
      </c>
    </row>
    <row r="10" spans="1:21" ht="18" customHeight="1" x14ac:dyDescent="0.25">
      <c r="A10" s="32"/>
      <c r="C10" s="11">
        <v>7</v>
      </c>
      <c r="D10">
        <v>9</v>
      </c>
      <c r="E10" s="13"/>
      <c r="K10" s="15">
        <f t="shared" si="0"/>
        <v>7</v>
      </c>
      <c r="L10" s="29">
        <f t="shared" si="1"/>
        <v>2.125</v>
      </c>
      <c r="M10" s="29">
        <f t="shared" si="2"/>
        <v>4.515625</v>
      </c>
      <c r="N10" s="22">
        <f t="shared" si="3"/>
        <v>4.2853672502640459</v>
      </c>
      <c r="O10" s="29">
        <f t="shared" si="4"/>
        <v>1.0237854251012144</v>
      </c>
      <c r="Q10" s="5" t="s">
        <v>292</v>
      </c>
      <c r="R10" s="30">
        <f>1/$R$8</f>
        <v>0.4761519166960051</v>
      </c>
      <c r="T10" s="5" t="s">
        <v>293</v>
      </c>
    </row>
    <row r="11" spans="1:21" ht="18" customHeight="1" x14ac:dyDescent="0.25">
      <c r="C11" s="11">
        <v>8</v>
      </c>
      <c r="D11">
        <v>7</v>
      </c>
      <c r="E11" s="13"/>
      <c r="K11" s="15">
        <f t="shared" si="0"/>
        <v>8</v>
      </c>
      <c r="L11" s="29">
        <f t="shared" si="1"/>
        <v>0.125</v>
      </c>
      <c r="M11" s="29">
        <f t="shared" si="2"/>
        <v>1.5625E-2</v>
      </c>
      <c r="N11" s="22">
        <f t="shared" si="3"/>
        <v>3.3330634168720357</v>
      </c>
      <c r="O11" s="29">
        <f t="shared" si="4"/>
        <v>3.5425101214574769E-3</v>
      </c>
      <c r="Q11" s="5" t="s">
        <v>294</v>
      </c>
      <c r="R11" s="26">
        <f>SUM($N$4:$N$11)/$R$4</f>
        <v>3.2735444272850351</v>
      </c>
      <c r="T11" s="5" t="s">
        <v>295</v>
      </c>
    </row>
    <row r="12" spans="1:21" ht="18" customHeight="1" x14ac:dyDescent="0.25">
      <c r="A12" s="34" t="s">
        <v>48</v>
      </c>
      <c r="Q12" s="5" t="s">
        <v>296</v>
      </c>
      <c r="R12" s="26">
        <f>SUM($O$4:$O$11)</f>
        <v>7</v>
      </c>
      <c r="T12" s="5" t="s">
        <v>297</v>
      </c>
    </row>
    <row r="13" spans="1:21" ht="18" customHeight="1" x14ac:dyDescent="0.25">
      <c r="A13" s="32"/>
      <c r="Q13" s="5" t="s">
        <v>298</v>
      </c>
      <c r="R13" s="26">
        <f>SQRT($R$12/($R$4-1))</f>
        <v>1</v>
      </c>
      <c r="T13" s="5" t="s">
        <v>299</v>
      </c>
    </row>
    <row r="14" spans="1:21" ht="18" customHeight="1" x14ac:dyDescent="0.25">
      <c r="A14" s="32"/>
      <c r="Q14" s="5" t="s">
        <v>300</v>
      </c>
      <c r="R14" s="26">
        <f>$R$5*$R$10</f>
        <v>3.2735444272850351</v>
      </c>
      <c r="T14" s="5" t="s">
        <v>301</v>
      </c>
    </row>
    <row r="15" spans="1:21" ht="18" customHeight="1" x14ac:dyDescent="0.25">
      <c r="Q15" s="16" t="s">
        <v>85</v>
      </c>
    </row>
    <row r="16" spans="1:21" ht="18" customHeight="1" x14ac:dyDescent="0.25">
      <c r="A16" s="35" t="s">
        <v>271</v>
      </c>
      <c r="Q16" s="5" t="s">
        <v>302</v>
      </c>
      <c r="R16" s="31">
        <f>_xlfn.STDEV.S($D$4:$D$11)</f>
        <v>2.1001700611413079</v>
      </c>
      <c r="T16" s="5" t="s">
        <v>303</v>
      </c>
      <c r="U16" s="21" t="str">
        <f>IF(ABS(R16-$R$8)&lt;0.000001,"ano","ne")</f>
        <v>ano</v>
      </c>
    </row>
    <row r="17" spans="1:21" ht="18" customHeight="1" x14ac:dyDescent="0.25">
      <c r="A17" s="32"/>
      <c r="Q17" s="5" t="s">
        <v>304</v>
      </c>
      <c r="R17" s="31">
        <f>_xlfn.STDEV.S($N$4:$N$11)</f>
        <v>1</v>
      </c>
      <c r="T17" s="5" t="s">
        <v>305</v>
      </c>
      <c r="U17" s="21" t="str">
        <f>IF(ABS(R17-$R$13)&lt;0.000001,"ano","ne")</f>
        <v>ano</v>
      </c>
    </row>
    <row r="18" spans="1:21" ht="18" customHeight="1" x14ac:dyDescent="0.25">
      <c r="Q18" s="5" t="s">
        <v>306</v>
      </c>
      <c r="R18" s="31">
        <f>$R$14</f>
        <v>3.2735444272850351</v>
      </c>
      <c r="T18" s="5" t="s">
        <v>307</v>
      </c>
      <c r="U18" s="21" t="str">
        <f>IF(ABS(R18-$R$11)&lt;0.000001,"ano","ne")</f>
        <v>ano</v>
      </c>
    </row>
    <row r="19" spans="1:21" ht="18" customHeight="1" x14ac:dyDescent="0.25"/>
    <row r="20" spans="1:21" ht="18" customHeight="1" x14ac:dyDescent="0.25">
      <c r="Q20" s="33" t="s">
        <v>92</v>
      </c>
      <c r="R20" s="33"/>
      <c r="S20" s="33"/>
      <c r="T20" s="33"/>
    </row>
    <row r="21" spans="1:21" ht="18" customHeight="1" x14ac:dyDescent="0.25">
      <c r="Q21" s="32" t="s">
        <v>308</v>
      </c>
      <c r="R21" s="32"/>
      <c r="S21" s="32"/>
      <c r="T21" s="32"/>
    </row>
    <row r="22" spans="1:21" ht="18" customHeight="1" x14ac:dyDescent="0.25">
      <c r="Q22" s="32"/>
      <c r="R22" s="32"/>
      <c r="S22" s="32"/>
      <c r="T22" s="32"/>
    </row>
    <row r="23" spans="1:21" ht="18" customHeight="1" x14ac:dyDescent="0.25">
      <c r="Q23" s="32"/>
      <c r="R23" s="32"/>
      <c r="S23" s="32"/>
      <c r="T23" s="32"/>
    </row>
    <row r="24" spans="1:21" ht="18" customHeight="1" x14ac:dyDescent="0.25">
      <c r="Q24" s="32"/>
      <c r="R24" s="32"/>
      <c r="S24" s="32"/>
      <c r="T24" s="32"/>
    </row>
    <row r="25" spans="1:21" ht="18" customHeight="1" x14ac:dyDescent="0.25">
      <c r="A25" s="10" t="s">
        <v>55</v>
      </c>
      <c r="Q25" s="32"/>
      <c r="R25" s="32"/>
      <c r="S25" s="32"/>
      <c r="T25" s="32"/>
    </row>
    <row r="26" spans="1:21" ht="18" customHeight="1" x14ac:dyDescent="0.25">
      <c r="Q26" s="32"/>
      <c r="R26" s="32"/>
      <c r="S26" s="32"/>
      <c r="T26" s="32"/>
    </row>
    <row r="27" spans="1:21" ht="18" customHeight="1" x14ac:dyDescent="0.25">
      <c r="Q27" s="32"/>
      <c r="R27" s="32"/>
      <c r="S27" s="32"/>
      <c r="T27" s="32"/>
    </row>
    <row r="28" spans="1:21" ht="18" customHeight="1" x14ac:dyDescent="0.25">
      <c r="Q28" s="32"/>
      <c r="R28" s="32"/>
      <c r="S28" s="32"/>
      <c r="T28" s="32"/>
    </row>
    <row r="29" spans="1:21" ht="18" customHeight="1" x14ac:dyDescent="0.25">
      <c r="A29" s="35" t="s">
        <v>149</v>
      </c>
      <c r="Q29" s="32"/>
      <c r="R29" s="32"/>
      <c r="S29" s="32"/>
      <c r="T29" s="32"/>
    </row>
    <row r="30" spans="1:21" ht="18" customHeight="1" x14ac:dyDescent="0.25">
      <c r="A30" s="32"/>
      <c r="Q30" s="32"/>
      <c r="R30" s="32"/>
      <c r="S30" s="32"/>
      <c r="T30" s="32"/>
    </row>
    <row r="31" spans="1:21" ht="18" customHeight="1" x14ac:dyDescent="0.25">
      <c r="Q31" s="32"/>
      <c r="R31" s="32"/>
      <c r="S31" s="32"/>
      <c r="T31" s="32"/>
    </row>
    <row r="32" spans="1:21" ht="18" customHeight="1" x14ac:dyDescent="0.25">
      <c r="Q32" s="32"/>
      <c r="R32" s="32"/>
      <c r="S32" s="32"/>
      <c r="T32" s="32"/>
    </row>
    <row r="33" spans="1:1" ht="18" customHeight="1" x14ac:dyDescent="0.25"/>
    <row r="34" spans="1:1" ht="18" customHeight="1" x14ac:dyDescent="0.25">
      <c r="A34" s="35" t="s">
        <v>277</v>
      </c>
    </row>
    <row r="35" spans="1:1" ht="18" customHeight="1" x14ac:dyDescent="0.25">
      <c r="A35" s="32"/>
    </row>
    <row r="36" spans="1:1" ht="18" customHeight="1" x14ac:dyDescent="0.25"/>
    <row r="37" spans="1:1" ht="18" customHeight="1" x14ac:dyDescent="0.25"/>
    <row r="38" spans="1:1" ht="18" customHeight="1" x14ac:dyDescent="0.25"/>
    <row r="39" spans="1:1" ht="18" customHeight="1" x14ac:dyDescent="0.25"/>
    <row r="40" spans="1:1" ht="18" customHeight="1" x14ac:dyDescent="0.25">
      <c r="A40" s="35" t="s">
        <v>278</v>
      </c>
    </row>
    <row r="41" spans="1:1" ht="18" customHeight="1" x14ac:dyDescent="0.25">
      <c r="A41" s="32"/>
    </row>
    <row r="42" spans="1:1" ht="18" customHeight="1" x14ac:dyDescent="0.25"/>
    <row r="43" spans="1:1" ht="18" customHeight="1" x14ac:dyDescent="0.25"/>
    <row r="44" spans="1:1" ht="18" customHeight="1" x14ac:dyDescent="0.25"/>
    <row r="45" spans="1:1" ht="18" customHeight="1" x14ac:dyDescent="0.25"/>
    <row r="46" spans="1:1" ht="18" customHeight="1" x14ac:dyDescent="0.25"/>
    <row r="47" spans="1:1" ht="18" customHeight="1" x14ac:dyDescent="0.25"/>
    <row r="48" spans="1:1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</sheetData>
  <mergeCells count="8">
    <mergeCell ref="A34:A35"/>
    <mergeCell ref="A40:A41"/>
    <mergeCell ref="Q20:T20"/>
    <mergeCell ref="Q21:T32"/>
    <mergeCell ref="A4:A10"/>
    <mergeCell ref="A12:A14"/>
    <mergeCell ref="A16:A17"/>
    <mergeCell ref="A29:A30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Prehled</vt:lpstr>
      <vt:lpstr>U1_stred</vt:lpstr>
      <vt:lpstr>U2_variabilita</vt:lpstr>
      <vt:lpstr>U3_interval</vt:lpstr>
      <vt:lpstr>U4_boxplot</vt:lpstr>
      <vt:lpstr>U5_orezani</vt:lpstr>
      <vt:lpstr>U6_transformace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2026-10-13T22:58:43Z</dcterms:created>
  <dcterms:modified xsi:type="dcterms:W3CDTF">2026-10-13T22:59:12Z</dcterms:modified>
</cp:coreProperties>
</file>