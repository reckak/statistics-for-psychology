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A55B446-A410-4BD8-A7BB-F9385DF7F516}" xr6:coauthVersionLast="47" xr6:coauthVersionMax="47" xr10:uidLastSave="{00000000-0000-0000-0000-000000000000}"/>
  <bookViews>
    <workbookView xWindow="-109" yWindow="-109" windowWidth="34995" windowHeight="19060" xr2:uid="{D5782B2E-6395-4CCE-A67C-81A3F405B359}"/>
  </bookViews>
  <sheets>
    <sheet name="Prehled" sheetId="1" r:id="rId1"/>
    <sheet name="U1_z_skor" sheetId="2" r:id="rId2"/>
    <sheet name="U2_podily" sheetId="3" r:id="rId3"/>
    <sheet name="U3_hranice" sheetId="4" r:id="rId4"/>
    <sheet name="U4_dve_skupiny" sheetId="5" r:id="rId5"/>
    <sheet name="U5_diagnostika" sheetId="6" r:id="rId6"/>
    <sheet name="U6_referencni" sheetId="7" r:id="rId7"/>
    <sheet name="U7_T_skory" sheetId="8" r:id="rId8"/>
    <sheet name="U8_QQ"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5" i="9" l="1"/>
  <c r="R4" i="9"/>
  <c r="K19" i="9" s="1"/>
  <c r="L19" i="9" s="1"/>
  <c r="K17" i="9"/>
  <c r="L17" i="9" s="1"/>
  <c r="K16" i="9"/>
  <c r="L16" i="9" s="1"/>
  <c r="K15" i="9"/>
  <c r="L15" i="9" s="1"/>
  <c r="K11" i="9"/>
  <c r="L11" i="9" s="1"/>
  <c r="K10" i="9"/>
  <c r="L10" i="9" s="1"/>
  <c r="K9" i="9"/>
  <c r="L9" i="9" s="1"/>
  <c r="K8" i="9"/>
  <c r="L8" i="9" s="1"/>
  <c r="K5" i="9"/>
  <c r="L5" i="9" s="1"/>
  <c r="K4" i="9"/>
  <c r="L4" i="9" s="1"/>
  <c r="V18" i="8"/>
  <c r="U18" i="8"/>
  <c r="T18" i="8"/>
  <c r="S18" i="8"/>
  <c r="R18" i="8"/>
  <c r="S9" i="8"/>
  <c r="V5" i="8"/>
  <c r="V19" i="8" s="1"/>
  <c r="U5" i="8"/>
  <c r="U16" i="8" s="1"/>
  <c r="T5" i="8"/>
  <c r="T6" i="8" s="1"/>
  <c r="S5" i="8"/>
  <c r="S13" i="8" s="1"/>
  <c r="S14" i="8" s="1"/>
  <c r="R5" i="8"/>
  <c r="R13" i="8" s="1"/>
  <c r="R14" i="8" s="1"/>
  <c r="L12" i="8"/>
  <c r="K12" i="8"/>
  <c r="L11" i="8"/>
  <c r="K11" i="8"/>
  <c r="L10" i="8"/>
  <c r="K10" i="8"/>
  <c r="L9" i="8"/>
  <c r="K9" i="8"/>
  <c r="L8" i="8"/>
  <c r="K8" i="8"/>
  <c r="L7" i="8"/>
  <c r="K7" i="8"/>
  <c r="L6" i="8"/>
  <c r="K6" i="8"/>
  <c r="L5" i="8"/>
  <c r="S20" i="8" s="1"/>
  <c r="K5" i="8"/>
  <c r="L4" i="8"/>
  <c r="K4" i="8"/>
  <c r="S13" i="7"/>
  <c r="R13" i="7"/>
  <c r="S12" i="7"/>
  <c r="R12" i="7"/>
  <c r="S9" i="7"/>
  <c r="S10" i="7" s="1"/>
  <c r="R9" i="7"/>
  <c r="R10" i="7" s="1"/>
  <c r="S5" i="7"/>
  <c r="S6" i="7" s="1"/>
  <c r="S7" i="7" s="1"/>
  <c r="R5" i="7"/>
  <c r="R6" i="7" s="1"/>
  <c r="R7" i="7" s="1"/>
  <c r="R10" i="6"/>
  <c r="R9" i="6"/>
  <c r="R4" i="6"/>
  <c r="R5" i="6" s="1"/>
  <c r="R6" i="6" s="1"/>
  <c r="R7" i="6" s="1"/>
  <c r="S10" i="5"/>
  <c r="R10" i="5"/>
  <c r="R5" i="5"/>
  <c r="R6" i="5" s="1"/>
  <c r="R7" i="5" s="1"/>
  <c r="R8" i="5" s="1"/>
  <c r="S4" i="5"/>
  <c r="S5" i="5" s="1"/>
  <c r="S6" i="5" s="1"/>
  <c r="R4" i="5"/>
  <c r="R22" i="4"/>
  <c r="R21" i="4"/>
  <c r="R20" i="4"/>
  <c r="R19" i="4"/>
  <c r="R14" i="4"/>
  <c r="R15" i="4" s="1"/>
  <c r="R12" i="4"/>
  <c r="R5" i="4"/>
  <c r="R6" i="4" s="1"/>
  <c r="R8" i="4" s="1"/>
  <c r="R10" i="4" s="1"/>
  <c r="R16" i="3"/>
  <c r="R15" i="3"/>
  <c r="R14" i="3"/>
  <c r="T14" i="3" s="1"/>
  <c r="R7" i="3"/>
  <c r="R11" i="3" s="1"/>
  <c r="R6" i="3"/>
  <c r="R10" i="3" s="1"/>
  <c r="R5" i="3"/>
  <c r="R9" i="3" s="1"/>
  <c r="R18" i="2"/>
  <c r="R17" i="2"/>
  <c r="R4" i="2"/>
  <c r="R5" i="2" s="1"/>
  <c r="K19" i="2"/>
  <c r="K18" i="2"/>
  <c r="K17" i="2"/>
  <c r="K16" i="2"/>
  <c r="K15" i="2"/>
  <c r="K14" i="2"/>
  <c r="K13" i="2"/>
  <c r="K12" i="2"/>
  <c r="K11" i="2"/>
  <c r="K10" i="2"/>
  <c r="K9" i="2"/>
  <c r="K8" i="2"/>
  <c r="K7" i="2"/>
  <c r="K6" i="2"/>
  <c r="K5" i="2"/>
  <c r="K4" i="2"/>
  <c r="T8" i="8" l="1"/>
  <c r="T15" i="3"/>
  <c r="U8" i="8"/>
  <c r="T20" i="8"/>
  <c r="K18" i="9"/>
  <c r="L18" i="9" s="1"/>
  <c r="R16" i="4"/>
  <c r="R17" i="4"/>
  <c r="T22" i="4" s="1"/>
  <c r="L9" i="2"/>
  <c r="M9" i="2" s="1"/>
  <c r="L12" i="2"/>
  <c r="M12" i="2" s="1"/>
  <c r="L11" i="2"/>
  <c r="M11" i="2" s="1"/>
  <c r="L17" i="2"/>
  <c r="M17" i="2" s="1"/>
  <c r="L5" i="2"/>
  <c r="M5" i="2" s="1"/>
  <c r="L16" i="2"/>
  <c r="M16" i="2" s="1"/>
  <c r="L4" i="2"/>
  <c r="M4" i="2" s="1"/>
  <c r="L8" i="2"/>
  <c r="M8" i="2" s="1"/>
  <c r="L10" i="2"/>
  <c r="L19" i="2"/>
  <c r="M19" i="2" s="1"/>
  <c r="L18" i="2"/>
  <c r="L14" i="2"/>
  <c r="L7" i="2"/>
  <c r="M7" i="2" s="1"/>
  <c r="L6" i="2"/>
  <c r="M6" i="2" s="1"/>
  <c r="T17" i="2"/>
  <c r="S11" i="8"/>
  <c r="S12" i="8" s="1"/>
  <c r="T11" i="8"/>
  <c r="T12" i="8" s="1"/>
  <c r="U20" i="8"/>
  <c r="V11" i="8"/>
  <c r="V12" i="8" s="1"/>
  <c r="U6" i="8"/>
  <c r="T13" i="8"/>
  <c r="T14" i="8" s="1"/>
  <c r="K12" i="9"/>
  <c r="L12" i="9" s="1"/>
  <c r="R5" i="9"/>
  <c r="N19" i="9" s="1"/>
  <c r="U11" i="8"/>
  <c r="U12" i="8" s="1"/>
  <c r="T9" i="6"/>
  <c r="V6" i="8"/>
  <c r="U13" i="8"/>
  <c r="U14" i="8" s="1"/>
  <c r="K13" i="9"/>
  <c r="L13" i="9" s="1"/>
  <c r="R9" i="9"/>
  <c r="R10" i="9" s="1"/>
  <c r="T20" i="4"/>
  <c r="R8" i="8"/>
  <c r="V13" i="8"/>
  <c r="V14" i="8" s="1"/>
  <c r="K6" i="9"/>
  <c r="L6" i="9" s="1"/>
  <c r="R11" i="9"/>
  <c r="R16" i="9" s="1"/>
  <c r="R11" i="8"/>
  <c r="R12" i="8" s="1"/>
  <c r="S19" i="8"/>
  <c r="S8" i="8"/>
  <c r="V16" i="8"/>
  <c r="K7" i="9"/>
  <c r="L7" i="9" s="1"/>
  <c r="K14" i="9"/>
  <c r="L14" i="9" s="1"/>
  <c r="S8" i="5"/>
  <c r="S7" i="5"/>
  <c r="U10" i="5"/>
  <c r="U12" i="7"/>
  <c r="U13" i="7"/>
  <c r="T21" i="4"/>
  <c r="R12" i="3"/>
  <c r="T16" i="3" s="1"/>
  <c r="T10" i="6"/>
  <c r="R20" i="8"/>
  <c r="X20" i="8" s="1"/>
  <c r="M18" i="2"/>
  <c r="N5" i="9"/>
  <c r="N8" i="9"/>
  <c r="N11" i="9"/>
  <c r="N14" i="9"/>
  <c r="R7" i="4"/>
  <c r="R9" i="4" s="1"/>
  <c r="T19" i="4" s="1"/>
  <c r="M14" i="2"/>
  <c r="V20" i="8"/>
  <c r="V8" i="8"/>
  <c r="N6" i="9"/>
  <c r="N9" i="9"/>
  <c r="N12" i="9"/>
  <c r="N15" i="9"/>
  <c r="N18" i="9"/>
  <c r="R9" i="8"/>
  <c r="R19" i="8"/>
  <c r="R16" i="8"/>
  <c r="M10" i="2"/>
  <c r="L15" i="2"/>
  <c r="R6" i="8"/>
  <c r="T9" i="8"/>
  <c r="S16" i="8"/>
  <c r="T19" i="8"/>
  <c r="S6" i="8"/>
  <c r="U9" i="8"/>
  <c r="T16" i="8"/>
  <c r="U19" i="8"/>
  <c r="N4" i="9"/>
  <c r="N7" i="9"/>
  <c r="N10" i="9"/>
  <c r="N13" i="9"/>
  <c r="N16" i="9"/>
  <c r="L13" i="2"/>
  <c r="V9" i="8"/>
  <c r="T16" i="9" l="1"/>
  <c r="N17" i="9"/>
  <c r="R6" i="9"/>
  <c r="R7" i="9" s="1"/>
  <c r="M17" i="9" s="1"/>
  <c r="X18" i="8"/>
  <c r="X19" i="8"/>
  <c r="M13" i="2"/>
  <c r="M16" i="9"/>
  <c r="M15" i="9"/>
  <c r="M13" i="9"/>
  <c r="M15" i="2"/>
  <c r="R12" i="9"/>
  <c r="R6" i="2" l="1"/>
  <c r="R7" i="2" s="1"/>
  <c r="R9" i="2" s="1"/>
  <c r="N13" i="2" s="1"/>
  <c r="O13" i="2" s="1"/>
  <c r="M12" i="9"/>
  <c r="M11" i="9"/>
  <c r="M8" i="9"/>
  <c r="M6" i="9"/>
  <c r="M5" i="9"/>
  <c r="M7" i="9"/>
  <c r="M10" i="9"/>
  <c r="M14" i="9"/>
  <c r="M4" i="9"/>
  <c r="M18" i="9"/>
  <c r="M9" i="9"/>
  <c r="M19" i="9"/>
  <c r="T15" i="9"/>
  <c r="R13" i="9"/>
  <c r="T18" i="2"/>
  <c r="R13" i="2"/>
  <c r="N8" i="2"/>
  <c r="O8" i="2" s="1"/>
  <c r="N12" i="2"/>
  <c r="O12" i="2" s="1"/>
  <c r="N19" i="2"/>
  <c r="O19" i="2" s="1"/>
  <c r="N7" i="2"/>
  <c r="O7" i="2" s="1"/>
  <c r="R15" i="2"/>
  <c r="R14" i="2"/>
  <c r="N18" i="2"/>
  <c r="O18" i="2" s="1"/>
  <c r="N10" i="2"/>
  <c r="O10" i="2" s="1"/>
  <c r="N5" i="2"/>
  <c r="O5" i="2" s="1"/>
  <c r="N6" i="2"/>
  <c r="O6" i="2" s="1"/>
  <c r="N17" i="2"/>
  <c r="O17" i="2" s="1"/>
  <c r="N4" i="2"/>
  <c r="N16" i="2"/>
  <c r="O16" i="2" s="1"/>
  <c r="N14" i="2"/>
  <c r="O14" i="2" s="1"/>
  <c r="N11" i="2"/>
  <c r="O11" i="2" s="1"/>
  <c r="R19" i="2"/>
  <c r="N9" i="2"/>
  <c r="O9" i="2" s="1"/>
  <c r="N15" i="2"/>
  <c r="O15" i="2" s="1"/>
  <c r="T19" i="2" l="1"/>
  <c r="R10" i="2"/>
  <c r="O4" i="2"/>
  <c r="R11" i="2" s="1"/>
</calcChain>
</file>

<file path=xl/sharedStrings.xml><?xml version="1.0" encoding="utf-8"?>
<sst xmlns="http://schemas.openxmlformats.org/spreadsheetml/2006/main" count="472" uniqueCount="356">
  <si>
    <t>Cvičení v Excelu k prezentaci: Normální rozdělení a standardní skóry (kapitola 4)</t>
  </si>
  <si>
    <t>Sešit obsahuje zadání, vstupní údaje, potřebné vztahy, pracovní oblast a řešení po krocích. Lze jej použít samostatně, bez prezentace.</t>
  </si>
  <si>
    <t>List</t>
  </si>
  <si>
    <t>Vstupy</t>
  </si>
  <si>
    <t>Úkol</t>
  </si>
  <si>
    <t>U1_z_skor</t>
  </si>
  <si>
    <t>C4:D19: číslo hodnoty a 16 hodnot</t>
  </si>
  <si>
    <t>Úkol 1: průměr, směrodatná odchylka a z-skóry; z-skóry hodnot 2,5, 6,2 a 9</t>
  </si>
  <si>
    <t>U2_podily</t>
  </si>
  <si>
    <t>D4:D5: model počtu zákazníků N(975, 15)</t>
  </si>
  <si>
    <t>Úkol 2: podíl počtů mezi 960 a 990, nejvýše 975 a nejvýše 990</t>
  </si>
  <si>
    <t>U3_hranice</t>
  </si>
  <si>
    <t>D4:D5: týž model N(975, 15)</t>
  </si>
  <si>
    <t>Úkol 3: meze prostředních 50 %, 75. percentil a meze prostředních 95 %</t>
  </si>
  <si>
    <t>U4_dve_skupiny</t>
  </si>
  <si>
    <t>D4:E5: čtenářské skóry 4. a 9. třídy</t>
  </si>
  <si>
    <t>Úkol 4: podíl čtvrťáků nad průměrem deváťáků a deváťáků pod průměrem čtvrťáků</t>
  </si>
  <si>
    <t>U5_diagnostika</t>
  </si>
  <si>
    <t>D4:D6: model testu N(150, 30) a podíl 0,10</t>
  </si>
  <si>
    <t>Úkol 5: diagnostická hranice dolních 10 %</t>
  </si>
  <si>
    <t>U6_referencni</t>
  </si>
  <si>
    <t>D4:E6: dvě referenční skupiny (historické údaje GRE, 1981) a hranice 600</t>
  </si>
  <si>
    <t>Úkol 6: percentilové pořadí 600 bodů a 75. percentil v obou skupinách</t>
  </si>
  <si>
    <t>U7_T_skory</t>
  </si>
  <si>
    <t>D4:D8: čtyři T-skóry a podíl 0,98</t>
  </si>
  <si>
    <t>Úkol 7: hranice horních 2 % a převody T-skórů na z, IQ-skór, subtestový skór, sten, stanin a modelové percentilové pořadí</t>
  </si>
  <si>
    <t>U8_QQ</t>
  </si>
  <si>
    <t>C4:D19: pořadí a stejných 16 hodnot jako na U1</t>
  </si>
  <si>
    <t>Úkol 8: souřadnice normálního Q–Q grafu, referenční přímka a graf</t>
  </si>
  <si>
    <t>Jak s listy pracovat</t>
  </si>
  <si>
    <t>Blok „Potřebné vztahy“</t>
  </si>
  <si>
    <t>Žluté buňky</t>
  </si>
  <si>
    <t>Modrý blok „Řešení po krocích“</t>
  </si>
  <si>
    <t>Zelené řádky</t>
  </si>
  <si>
    <t>Normální model</t>
  </si>
  <si>
    <t>Konvence</t>
  </si>
  <si>
    <t>Pod zadáním jsou obecné rovnice potřebné k úkolu, zapsané ve značení učebnice a s vysvětlením symbolů. Řešení po krocích ukazuje, jak do nich dosadit.</t>
  </si>
  <si>
    <t>Pracovní oblast pro vlastní výpočty. Vyplňte ji dříve, než se podíváte na řešení.</t>
  </si>
  <si>
    <t>Standardizace, zpětné převody a převody škál jsou rozepsány základními operacemi (odčítání, dělení, násobení, sčítání, SUMA, POČET, odmocnina). Plochu pod křivkou ani kvantil normálního modelu základními operacemi spočítat nelze; tento krok dělá funkce NORM.S.DIST (podíl vlevo od z), resp. NORM.S.INV (z pro zadaný podíl vlevo).</t>
  </si>
  <si>
    <t>Kontrola přímou funkcí Excelu (s anglickým názvem), například NORM.DIST nebo NORM.INV s původním průměrem a směrodatnou odchylkou. Sloupec „Shoda s kroky“ ukazuje, zda funkce vrací totéž co výpočet po krocích.</t>
  </si>
  <si>
    <t>Listy U2 až U7 pracují se zadaným normálním modelem; výsledky platí pro tento model, nikoli automaticky pro skutečná data. Zápis N(μ, σ) uvádí jako druhý údaj směrodatnou odchylku.</t>
  </si>
  <si>
    <t>České názvy funkcí, desetinná čárka, středník mezi argumenty. Výběrová směrodatná odchylka s dělením n − 1. Mezivýpočty nezaokrouhlujte; podíly uvádějte na tři desetinná místa nebo procenta na jedno, body na dvě desetinná místa. Funkce jsou dostupné v Excelu 2016 a novějším.</t>
  </si>
  <si>
    <t>Zdroj a původ údajů</t>
  </si>
  <si>
    <t>Úlohy jsou českou adaptací úloh z učebnice: Howell, D. C. (2013). Statistical methods for psychology (8. vyd.). Wadsworth, Cengage Learning.</t>
  </si>
  <si>
    <t>U1 a U8: úloha 3.1 (s. 79), hodnoty bez udaného kontextu; U1 dále úloha 3.2. U2 a U3: úlohy 3.3–3.4 (s. 79). U4: úloha 3.6 (s. 79). U5: úloha 3.8 (s. 80). U6: úlohy 3.13–3.15 (s. 80). U7: úloha 3.18 (s. 80), převody doplněny. U8 vychází z postupu úloh 3.20–3.21 (s. 81), s jinými daty.</t>
  </si>
  <si>
    <t>Údaje U6 jsou historické průměry a směrodatné odchylky zkoušky GRE z října 1981, jak je uvádí Howell; nepopisují současné výsledky. Ostatní modely jsou učebnicová zadání, ne normy skutečných testů.</t>
  </si>
  <si>
    <t>Howell u úlohy 3.1 hodnoty označuje za populaci se směrodatnou odchylkou 1,63; to odpovídá dělení n − 1. Na listech U1 a U8 je proto počítáme jako soubor s výběrovou směrodatnou odchylkou s.</t>
  </si>
  <si>
    <t>Úkol 1: Průměr, směrodatná odchylka a z-skóry</t>
  </si>
  <si>
    <t>Šestnáct hodnot bez udané jednotky (učebnicový početní příklad), seřazené vzestupně. Žádný údaj nechybí.</t>
  </si>
  <si>
    <t>Zadání</t>
  </si>
  <si>
    <t>Číslo</t>
  </si>
  <si>
    <t>Hodnota</t>
  </si>
  <si>
    <t>Váš z-skór</t>
  </si>
  <si>
    <t>Pracovní oblast</t>
  </si>
  <si>
    <t>Výsledek</t>
  </si>
  <si>
    <t>Řešení po krocích</t>
  </si>
  <si>
    <t>Vzorec pro sloupec R</t>
  </si>
  <si>
    <t>Shoda s kroky</t>
  </si>
  <si>
    <t>Úkol 1. a) Spočítejte průměr m a výběrovou směrodatnou odchylku s šestnácti hodnot v D4:D19. b) Převeďte každou hodnotu na z-skór (žluté buňky E4:E19) a ověřte, že z-skóry mají průměr 0 a směrodatnou odchylku 1. c) Jaké z-skóry by měly hodnoty 2,5; 6,2 a 9? Co tato čísla znamenají?</t>
  </si>
  <si>
    <t>Postup: počítejte nejprve po krocích základními operacemi ve žluté oblasti. Funkce Excelu (PRŮMĚR, SMODCH.VÝBĚR.S, STANDARDIZE) použijte až nakonec, jen pro kontrolu výsledku.</t>
  </si>
  <si>
    <t>Zdroj: Howell (2013), s. 79, úlohy 3.1–3.2. Česká adaptace.</t>
  </si>
  <si>
    <t>Průměr m</t>
  </si>
  <si>
    <t>Součet čtverců odchylek</t>
  </si>
  <si>
    <t>Směrodatná odchylka s</t>
  </si>
  <si>
    <t>z-skór hodnoty 2,5</t>
  </si>
  <si>
    <t>z-skór hodnoty 6,2</t>
  </si>
  <si>
    <t>z-skór hodnoty 9</t>
  </si>
  <si>
    <t>Potřebné vztahy</t>
  </si>
  <si>
    <t>m = průměr; n = počet hodnot; xᵢ = i-tá hodnota; Σ = součet.</t>
  </si>
  <si>
    <t>s = výběrová směrodatná odchylka; xᵢ − m = odchylka od průměru; n − 1 = stupně volnosti.</t>
  </si>
  <si>
    <t>zᵢ = z-skór i-té hodnoty: o kolik směrodatných odchylek leží nad průměrem (kladný) nebo pod ním (záporný).</t>
  </si>
  <si>
    <t>Odchylka</t>
  </si>
  <si>
    <t>Čtverec odchylky</t>
  </si>
  <si>
    <t>z-skór</t>
  </si>
  <si>
    <t>Čtverec z-skóru</t>
  </si>
  <si>
    <t>1. Počet hodnot n</t>
  </si>
  <si>
    <t>= POČET(D4:D19)</t>
  </si>
  <si>
    <t>2. Průměr m = součet / n</t>
  </si>
  <si>
    <t>= SUMA(D4:D19)/R4</t>
  </si>
  <si>
    <t>3. Součet čtverců odchylek (sloupec M)</t>
  </si>
  <si>
    <t>= SUMA(M4:M19)</t>
  </si>
  <si>
    <t>4. Výběrový rozptyl = součet čtverců / (n − 1)</t>
  </si>
  <si>
    <t>= R6/(R4-1)</t>
  </si>
  <si>
    <t>Směrodatná odchylka a z-skóry (sloupec N)</t>
  </si>
  <si>
    <t>5. Směrodatná odchylka s = odmocnina z rozptylu</t>
  </si>
  <si>
    <t>= ODMOCNINA(R7)</t>
  </si>
  <si>
    <t>6. Průměr z-skórů = součet / n (má být 0; zaokrouhleno)</t>
  </si>
  <si>
    <t>= ZAOKROUHLIT(SUMA(N4:N19)/R4;10)</t>
  </si>
  <si>
    <t>7. Směrodatná odchylka z-skórů (sloupec O; má být 1)</t>
  </si>
  <si>
    <t>= ODMOCNINA(SUMA(O4:O19)/(R4-1))</t>
  </si>
  <si>
    <t>z-skóry hodnot mimo soubor: z = (x − m) / s</t>
  </si>
  <si>
    <t>8. Hodnota 2,5</t>
  </si>
  <si>
    <t>= (2,5-R5)/R9</t>
  </si>
  <si>
    <t>9. Hodnota 6,2</t>
  </si>
  <si>
    <t>= (6,2-R5)/R9</t>
  </si>
  <si>
    <t>10. Hodnota 9</t>
  </si>
  <si>
    <t>= (9-R5)/R9</t>
  </si>
  <si>
    <t>Kontrola funkcí Excelu</t>
  </si>
  <si>
    <t>Kontrola: PRŮMĚR (AVERAGE)</t>
  </si>
  <si>
    <t>= PRŮMĚR(D4:D19)</t>
  </si>
  <si>
    <t>Kontrola: SMODCH.VÝBĚR.S (STDEV.S)</t>
  </si>
  <si>
    <t>= SMODCH.VÝBĚR.S(D4:D19)</t>
  </si>
  <si>
    <t>Kontrola: STANDARDIZE (STANDARDIZE), hodnota 9</t>
  </si>
  <si>
    <t>= STANDARDIZE(9;R5;R9)</t>
  </si>
  <si>
    <t>Postup a interpretace</t>
  </si>
  <si>
    <t>Průměr: součet 64 dělený 16 hodnotami je m = 4. Odchylky od průměru (sloupec L) mají součet 0; jejich čtverce (sloupec M) dávají součet 40, rozptyl 40 / 15 ≈ 2,667 a směrodatnou odchylku s ≈ 1,633. z-skór (sloupec N) vznikne tak, že od hodnoty odečteme průměr a rozdíl vydělíme s: například hodnota 7 má z = (7 − 4) / 1,633 ≈ 1,84, hodnota 1 má z ≈ −1,84 a hodnota 4 má z = 0. Z-skóry mají průměr 0 a směrodatnou odchylku 1 (sloupec O, krok 7); rozložení hodnot se přitom nezměnilo, jen jednotka a střed. Hodnoty mimo soubor: 2,5 leží 0,92 směrodatné odchylky pod průměrem, 6,2 leží 1,35 směrodatné odchylky nad ním a 9 leží 3,06 směrodatné odchylky nad průměrem, tedy daleko mimo rozsah souboru (nejvyšší hodnota 7 má z ≈ 1,84). Z-skór sám neříká, jaký podíl hodnot je nižší; k tomu bychom potřebovali znát tvar rozdělení. Howell hodnoty označuje za populaci, jeho směrodatná odchylka 1,63 však odpovídá dělení n − 1; při dělení n by vyšla 1,58.</t>
  </si>
  <si>
    <t>Úkol 2: Podíly pod hranicí a mezi dvěma mezemi</t>
  </si>
  <si>
    <t>Model počtu zákazníků N(975, 15): průměr a směrodatná odchylka jsou ve zjištěných počtech osob.</t>
  </si>
  <si>
    <t>Parametr modelu</t>
  </si>
  <si>
    <t>Průměr μ</t>
  </si>
  <si>
    <t>Směrodatná odchylka σ</t>
  </si>
  <si>
    <t>Mnoho posuzovatelů počítalo, kolik lidí ráno vešlo do obchodního domu. Někteří část lidí přehlédli, jiní některé započítali dvakrát. Počty mají průměr 975 a směrodatnou odchylku 15; předpokládejte normální rozdělení.</t>
  </si>
  <si>
    <t>Úkol 2. Jaký podíl počtů leží a) mezi 960 a 990, b) nejvýše na 975, c) nejvýše na 990? Nejprve si načrtněte hledané plochy.</t>
  </si>
  <si>
    <t>Postup: standardizaci a převody počítejte základními operacemi ve žluté oblasti. Plochu a kvantil normovaného normálního rozdělení dává funkce NORM.S.DIST, resp. NORM.S.INV; přímé funkce NORM.DIST a NORM.INV použijte až nakonec, jen pro kontrolu.</t>
  </si>
  <si>
    <t>Zdroj: Howell (2013), s. 79, úloha 3.3. Česká adaptace.</t>
  </si>
  <si>
    <t>z-skór hranice 960</t>
  </si>
  <si>
    <t>z-skór hranice 975</t>
  </si>
  <si>
    <t>z-skór hranice 990</t>
  </si>
  <si>
    <t>a) Podíl mezi 960 a 990</t>
  </si>
  <si>
    <t>b) Podíl nejvýše 975</t>
  </si>
  <si>
    <t>c) Podíl nejvýše 990</t>
  </si>
  <si>
    <t>z = poloha v jednotkách směrodatné odchylky; x = hodnota na původní škále; μ = průměr modelu; σ = směrodatná odchylka modelu.</t>
  </si>
  <si>
    <t>NORM.S.DIST s argumentem PRAVDA vrací plochu normovaného normálního rozdělení vlevo od z.</t>
  </si>
  <si>
    <t>a = dolní mez, b = horní mez (a &lt; b). Celková plocha pod křivkou je 1.</t>
  </si>
  <si>
    <t>Standardizace hranic: z = (x − μ) / σ</t>
  </si>
  <si>
    <t>1. z-skór hranice 960</t>
  </si>
  <si>
    <t>= (960-D4)/D5</t>
  </si>
  <si>
    <t>2. z-skór hranice 975</t>
  </si>
  <si>
    <t>= (975-D4)/D5</t>
  </si>
  <si>
    <t>3. z-skór hranice 990</t>
  </si>
  <si>
    <t>= (990-D4)/D5</t>
  </si>
  <si>
    <t>Plochy zleva (distribuční funkce)</t>
  </si>
  <si>
    <t>4. Podíl nejvýše 960 = NORM.S.DIST(z; PRAVDA)</t>
  </si>
  <si>
    <t>= NORM.S.DIST(R5;PRAVDA)</t>
  </si>
  <si>
    <t>5. b) Podíl nejvýše 975</t>
  </si>
  <si>
    <t>= NORM.S.DIST(R6;PRAVDA)</t>
  </si>
  <si>
    <t>6. c) Podíl nejvýše 990</t>
  </si>
  <si>
    <t>= NORM.S.DIST(R7;PRAVDA)</t>
  </si>
  <si>
    <t>7. a) Podíl mezi 960 a 990 = podíl nejvýše 990 − podíl nejvýše 960</t>
  </si>
  <si>
    <t>= R11-R9</t>
  </si>
  <si>
    <t>Kontrola: NORM.DIST (NORM.DIST), hranice 975</t>
  </si>
  <si>
    <t>= NORM.DIST(975;D4;D5;PRAVDA)</t>
  </si>
  <si>
    <t>Kontrola: NORM.DIST (NORM.DIST), hranice 990</t>
  </si>
  <si>
    <t>= NORM.DIST(990;D4;D5;PRAVDA)</t>
  </si>
  <si>
    <t>Kontrola: rozdíl dvou NORM.DIST</t>
  </si>
  <si>
    <t>= NORM.DIST(990;D4;D5;PRAVDA)-NORM.DIST(960;D4;D5;PRAVDA)</t>
  </si>
  <si>
    <t>Nejprve hranice standardizujeme: 960 leží (960 − 975) / 15 = −1 směrodatnou odchylku pod průměrem, 990 jednu směrodatnou odchylku nad ním a 975 je přesně průměr (z = 0). Funkce NORM.S.DIST s argumentem PRAVDA vrací podíl modelu vlevo od zadaného z, tedy podíl počtů nejvýše po hranici. b) Vlevo od průměru leží v souměrném modelu přesně polovina: 50,0 %. c) Vlevo od z = 1 leží 0,841, tedy 84,1 %. a) Plocha do 990 obsahuje i celou plochu do 960, proto menší levou plochu odečteme od větší: 0,841 − 0,159 = 0,683, tedy 68,3 %. Je to známý podíl do vzdálenosti jedné směrodatné odchylky od průměru (pravidlo 68–95–99,7). Kontrola: NORM.DIST pracuje přímo s průměrem a směrodatnou odchylkou modelu, bez standardizace. Interpretace: asi dvě třetiny posuzovatelů napočítají 960 až 990 lidí; výsledek platí pro zadaný normální model. Počet lidí je diskrétní, ale při směrodatné odchylce 15 je spojité přiblížení přiměřené.</t>
  </si>
  <si>
    <t>Úkol 3: Od podílu zpět k hranici</t>
  </si>
  <si>
    <t>Model počtu zákazníků N(975, 15), stejně jako na listu U2_podily.</t>
  </si>
  <si>
    <t>Pokračujeme v příkladu s počítáním zákazníků: počty mají normální rozdělení s průměrem 975 a směrodatnou odchylkou 15.</t>
  </si>
  <si>
    <t>Úkol 3. a) Mezi kterými dvěma počty leží prostředních 50 % výsledků? b) Pod jakým počtem leží 75 % výsledků? c) Mezi kterými počty leží prostředních 95 % výsledků? U každé otázky nejprve určete podíl vlevo od hledané hranice.</t>
  </si>
  <si>
    <t>Zdroj: Howell (2013), s. 79, úloha 3.4. Česká adaptace.</t>
  </si>
  <si>
    <t>Podíl vlevo od dolní meze prostředních 50 %</t>
  </si>
  <si>
    <t>a) Dolní mez prostředních 50 %</t>
  </si>
  <si>
    <t>a) Horní mez prostředních 50 %</t>
  </si>
  <si>
    <t>b) 75. percentil</t>
  </si>
  <si>
    <t>c) Dolní mez prostředních 95 %</t>
  </si>
  <si>
    <t>c) Horní mez prostředních 95 %</t>
  </si>
  <si>
    <t>P = prostřední podíl (0,50 nebo 0,95); zbytek 1 − P se dělí rovným dílem do obou chvostů. Horní mez má vlevo 1 − (1 − P) / 2.</t>
  </si>
  <si>
    <t>z_p = kvantil normovaného normálního rozdělení: vlevo od něj leží podíl p (0 &lt; p &lt; 1).</t>
  </si>
  <si>
    <t>a) Prostředních 50 %: do každého chvostu zbývá (1 − 0,5) / 2</t>
  </si>
  <si>
    <t>1. Podíl vlevo od dolní meze = (1 − 0,50) / 2</t>
  </si>
  <si>
    <t>= (1-0,5)/2</t>
  </si>
  <si>
    <t>2. Podíl vlevo od horní meze = 1 − (1 − 0,50) / 2</t>
  </si>
  <si>
    <t>= 1-R5</t>
  </si>
  <si>
    <t>3. z dolní meze = NORM.S.INV(podíl vlevo)</t>
  </si>
  <si>
    <t>= NORM.S.INV(R5)</t>
  </si>
  <si>
    <t>4. z horní meze = NORM.S.INV(podíl vlevo)</t>
  </si>
  <si>
    <t>= NORM.S.INV(R6)</t>
  </si>
  <si>
    <t>5. Dolní mez = μ + σ × z</t>
  </si>
  <si>
    <t>= D4+D5*R7</t>
  </si>
  <si>
    <t>6. Horní mez = μ + σ × z</t>
  </si>
  <si>
    <t>= D4+D5*R8</t>
  </si>
  <si>
    <t>b) 75 % vlevo: jediná hranice</t>
  </si>
  <si>
    <t>7. 75. percentil = μ + σ × NORM.S.INV(0,75); totéž co horní mez v a)</t>
  </si>
  <si>
    <t>= D4+D5*NORM.S.INV(0,75)</t>
  </si>
  <si>
    <t>c) Prostředních 95 %: do každého chvostu 2,5 %</t>
  </si>
  <si>
    <t>8. Podíl vlevo od dolní meze = (1 − 0,95) / 2</t>
  </si>
  <si>
    <t>= (1-0,95)/2</t>
  </si>
  <si>
    <t>9. z horní meze = NORM.S.INV(1 − podíl vlevo od dolní meze)</t>
  </si>
  <si>
    <t>= NORM.S.INV(1-R14)</t>
  </si>
  <si>
    <t>10. Dolní mez = μ − σ × z (souměrnost)</t>
  </si>
  <si>
    <t>= D4-D5*R15</t>
  </si>
  <si>
    <t>11. Horní mez = μ + σ × z</t>
  </si>
  <si>
    <t>= D4+D5*R15</t>
  </si>
  <si>
    <t>Kontrola: NORM.INV (NORM.INV), podíl 0,25</t>
  </si>
  <si>
    <t>= NORM.INV(0,25;D4;D5)</t>
  </si>
  <si>
    <t>Kontrola: NORM.INV (NORM.INV), podíl 0,75</t>
  </si>
  <si>
    <t>= NORM.INV(0,75;D4;D5)</t>
  </si>
  <si>
    <t>Kontrola: NORM.INV (NORM.INV), podíl 0,025</t>
  </si>
  <si>
    <t>= NORM.INV(0,025;D4;D5)</t>
  </si>
  <si>
    <t>Kontrola: NORM.INV (NORM.INV), podíl 0,975</t>
  </si>
  <si>
    <t>= NORM.INV(0,975;D4;D5)</t>
  </si>
  <si>
    <t>Inverzní funkce NORM.S.INV potřebuje podíl vlevo od hledané hranice. a) Mimo prostředních 50 % zbývá 50 %, na každý chvost 25 %; dolní mez má vlevo 0,25, horní 0,75. NORM.S.INV(0,75) ≈ 0,674 (hodnota k zapamatování), takže meze jsou 975 ± 15 × 0,674, tedy přibližně 964,88 a 985,12 zákazníka. b) 75 % výsledků leží pod 75. percentilem; je to tatáž hodnota jako horní mez v a), 985,12. c) Mimo prostředních 95 % zbývá 5 %, na každý chvost 2,5 %; horní mez má vlevo 0,975 a z ≈ 1,960. Meze jsou 975 ± 15 × 1,960, tedy 945,60 a 1004,40. Dolní mez dostaneme díky souměrnosti změnou znaménka z. Interpretace: polovina posuzovatelů napočítá zhruba 965 až 985 lidí, 95 % zhruba 946 až 1004. Pozor na rozdíl úloh: hranice horních 5 % by byla 95. percentil (975 + 15 × 1,645 ≈ 999,67), protože chvost se tu nepůlí.</t>
  </si>
  <si>
    <t>Úkol 4: Překrývání dvou normálních rozdělení</t>
  </si>
  <si>
    <t>Čtenářské skóry (body): 4. třída N(25, 5), 9. třída N(30, 10).</t>
  </si>
  <si>
    <t>4. třída</t>
  </si>
  <si>
    <t>9. třída</t>
  </si>
  <si>
    <t>Čtenářské skóry žáků 4. třídy mají průměr 25 a směrodatnou odchylku 5, skóry žáků 9. třídy průměr 30 a směrodatnou odchylku 10. Předpokládejte, že obě rozdělení jsou normální.</t>
  </si>
  <si>
    <t>Úkol 4. a) Kolik procent čtvrťáků má vyšší skór než průměrný deváťák? b) Kolik procent deváťáků má nižší skór než průměrný čtvrťák? c) Proč se oba podíly liší, přestože rozdíl průměrů je v obou otázkách 5 bodů?</t>
  </si>
  <si>
    <t>Zdroj: Howell (2013), s. 79–80, úlohy 3.6–3.7. Česká adaptace.</t>
  </si>
  <si>
    <t>Hranice (průměr druhé skupiny)</t>
  </si>
  <si>
    <t>z-skór hranice ve vlastní skupině</t>
  </si>
  <si>
    <t>Podíl nejvýše po hranici</t>
  </si>
  <si>
    <t>Hledaný podíl</t>
  </si>
  <si>
    <t>z = poloha v jednotkách směrodatné odchylky; x = hodnota na původní škále; μ = průměr modelu; σ = směrodatná odchylka modelu. Hranicí je průměr druhé skupiny; μ a σ jsou vlastní skupiny.</t>
  </si>
  <si>
    <t>Podíl nad hranicí = 1 − podíl nejvýše po hranici.</t>
  </si>
  <si>
    <t>1. Hranice = průměr druhé skupiny</t>
  </si>
  <si>
    <t>= E4</t>
  </si>
  <si>
    <t>2. z-skór hranice = (hranice − vlastní μ) / vlastní σ</t>
  </si>
  <si>
    <t>= (R4-D4)/D5</t>
  </si>
  <si>
    <t>3. Podíl nejvýše po hranici = NORM.S.DIST(z; PRAVDA)</t>
  </si>
  <si>
    <t>4. Podíl nad hranicí = 1 − podíl nejvýše po hranici</t>
  </si>
  <si>
    <t>= 1-R6</t>
  </si>
  <si>
    <t>5. Hledaný podíl: 4. třída nad hranicí (a), 9. třída pod hranicí (b)</t>
  </si>
  <si>
    <t>= R7</t>
  </si>
  <si>
    <t>Kontrola: NORM.DIST (NORM.DIST) s vlastním průměrem a směrodatnou odchylkou</t>
  </si>
  <si>
    <t>= NORM.DIST(E4;D4;D5;PRAVDA)</t>
  </si>
  <si>
    <t>U každé skupiny hledáme polohu průměru druhé skupiny ve vlastním rozdělení. a) Průměr deváťáků 30 leží u čtvrťáků (30 − 25) / 5 = 1 směrodatnou odchylku nad průměrem. Vlevo od z = 1 je 84,1 %, nad ním tedy 15,9 % čtvrťáků. b) Průměr čtvrťáků 25 leží u deváťáků (25 − 30) / 10 = −0,5 směrodatné odchylky od průměru; vlevo od z = −0,5 je 30,9 % deváťáků. Poznámka k řešení: řádek 5 vybírá u 4. třídy podíl nad hranicí a u 9. třídy podíl pod hranicí, proto se vzorce ve sloupcích R a S liší. c) Rozdíl průměrů je v obou otázkách 5 bodů, ale dělíme jinou směrodatnou odchylkou: u čtvrťáků 5, u deváťáků 10. Ve větší variabilitě deváťáků představuje 5 bodů jen polovinu směrodatné odchylky. Podíly by se rovnaly, kdyby obě skupiny měly stejnou směrodatnou odchylku; z-skóry by pak byly 1 a −1 a díky souměrnosti by oba chvosty měly stejnou plochu. Interpretace: stejný rozdíl průměrů nemusí znamenat stejné překrývání skupin.</t>
  </si>
  <si>
    <t>Úkol 5: Diagnostická hranice dolních 10 %</t>
  </si>
  <si>
    <t>Model výsledků diagnostického testu N(150, 30), body.</t>
  </si>
  <si>
    <t>Vstup</t>
  </si>
  <si>
    <t>Podíl vlevo p</t>
  </si>
  <si>
    <t>Diagnostický test ukazuje na obtíže jen tehdy, když dítě skóruje mezi 10 % nejnižších výsledků (10. percentil). Výsledky mají průměr 150 a směrodatnou odchylku 30 bodů; předpokládejte normální rozdělení.</t>
  </si>
  <si>
    <t>Úkol 5. Najděte diagnostickou hranici. Leží nad průměrem, nebo pod ním? Ověřte opačným převodem, že vlevo od ní leží 10 %.</t>
  </si>
  <si>
    <t>Zdroj: Howell (2013), s. 80, úloha 3.8. Česká adaptace.</t>
  </si>
  <si>
    <t>z-skór hranice</t>
  </si>
  <si>
    <t>Hranice v bodech</t>
  </si>
  <si>
    <t>Ověření: podíl vlevo od hranice</t>
  </si>
  <si>
    <t>p = podíl vlevo od hledané hranice, zde 0,10; z_p je záporné, protože p &lt; 0,5.</t>
  </si>
  <si>
    <t>Opačný převod slouží ke kontrole: vlevo od nalezeného z musí ležet podíl p.</t>
  </si>
  <si>
    <t>1. z-skór hranice = NORM.S.INV(p)</t>
  </si>
  <si>
    <t>= NORM.S.INV(D6)</t>
  </si>
  <si>
    <t>2. Hranice = μ + σ × z</t>
  </si>
  <si>
    <t>= D4+D5*R4</t>
  </si>
  <si>
    <t>3. Opačný převod: z = (hranice − μ) / σ</t>
  </si>
  <si>
    <t>= (R5-D4)/D5</t>
  </si>
  <si>
    <t>4. Podíl vlevo = NORM.S.DIST(z; PRAVDA), má být 0,10</t>
  </si>
  <si>
    <t>Kontrola: NORM.INV (NORM.INV)</t>
  </si>
  <si>
    <t>= NORM.INV(D6;D4;D5)</t>
  </si>
  <si>
    <t>Kontrola: zadaný podíl p</t>
  </si>
  <si>
    <t>= D6</t>
  </si>
  <si>
    <t>Hledáme hranici, vlevo od níž leží 10 % modelových výsledků. Vlevo má ležet méně než polovina plochy, proto musí hranice ležet pod průměrem a její z-skór je záporný. NORM.S.INV(0,1) ≈ −1,2816. Zpětný převod dává 150 + 30 × (−1,2816) ≈ 111,55 bodu. Opačný převod tento výsledek potvrdí: (111,55 − 150) / 30 ≈ −1,28 a vlevo od něj leží 0,100. Díky souměrnosti platí, že 90. percentil by ležel stejně daleko nad průměrem (z ≈ 1,2816). Interpretace: v modelu má asi 10 % dětí nejvýše 111,55 bodu. Hranice je správná jen tehdy, když výsledky testu normálnímu modelu odpovídají právě v dolním chvostu; u zešikmeného rozdělení by bylo nutné určit empirický 10. percentil z norem. Mez sama o sobě ještě není diagnózou.</t>
  </si>
  <si>
    <t>Úkol 6: Stejný výsledek, dvě referenční skupiny</t>
  </si>
  <si>
    <t>Historické údaje zkoušky GRE z října 1981 podle Howella (body); nepopisují současné výsledky.</t>
  </si>
  <si>
    <t>Všichni</t>
  </si>
  <si>
    <t>Absolventi</t>
  </si>
  <si>
    <t>Posuzovaný výsledek</t>
  </si>
  <si>
    <t>V říjnu 1981 měli všichni účastníci zkoušky GRE (Graduate Record Exam) průměr 489 a směrodatnou odchylku 126 bodů. Studenti posledního ročníku a absolventi vysokých škol měli průměr 507 a směrodatnou odchylku 118 bodů. Předpokládejte normální rozdělení.</t>
  </si>
  <si>
    <t>Úkol 6. a) Jaké je percentilové pořadí výsledku 600 bodů v každé skupině? b) Jaký výsledek je v každé skupině 75. percentilem? c) Co to vypovídá o významu referenční skupiny?</t>
  </si>
  <si>
    <t>Zdroj: Howell (2013), s. 80, úlohy 3.13–3.16. Česká adaptace.</t>
  </si>
  <si>
    <t>z-skór výsledku 600</t>
  </si>
  <si>
    <t>a) Percentilové pořadí 600</t>
  </si>
  <si>
    <t>z = poloha v jednotkách směrodatné odchylky; x = hodnota na původní škále; μ = průměr modelu; σ = směrodatná odchylka modelu. Každá referenční skupina má vlastní μ a σ.</t>
  </si>
  <si>
    <t>Modelové percentilové pořadí: procento výsledků nejvýše rovných posuzované hodnotě.</t>
  </si>
  <si>
    <t>z₀,₇₅ ≈ 0,674 (NORM.S.INV(0,75)) je v obou skupinách stejné.</t>
  </si>
  <si>
    <t>a) Percentilové pořadí 600 bodů</t>
  </si>
  <si>
    <t>1. z-skór = (600 − μ) / σ</t>
  </si>
  <si>
    <t>= (D6-D4)/D5</t>
  </si>
  <si>
    <t>2. Podíl nejvýše 600 = NORM.S.DIST(z; PRAVDA)</t>
  </si>
  <si>
    <t>3. Percentilové pořadí = 100 × podíl</t>
  </si>
  <si>
    <t>= 100*R6</t>
  </si>
  <si>
    <t>4. z_0,75 = NORM.S.INV(0,75)</t>
  </si>
  <si>
    <t>= NORM.S.INV(0,75)</t>
  </si>
  <si>
    <t>5. 75. percentil = μ + σ × z_0,75</t>
  </si>
  <si>
    <t>= D4+D5*R9</t>
  </si>
  <si>
    <t>Kontrola: NORM.DIST (NORM.DIST)</t>
  </si>
  <si>
    <t>= NORM.DIST(D6;D4;D5;PRAVDA)</t>
  </si>
  <si>
    <t>a) Mezi všemi účastníky leží 600 bodů (600 − 489) / 126 ≈ 0,881 směrodatné odchylky nad průměrem; vlevo od toho leží 81,1 % modelových výsledků, percentilové pořadí je tedy přibližně 81. Mezi absolventy je z = (600 − 507) / 118 ≈ 0,788 a percentilové pořadí přibližně 78,5. b) 75. percentil je hodnota, vlevo od níž leží 75 %; z_0,75 ≈ 0,674 je v obou skupinách stejné, liší se zpětný převod: 489 + 126 × 0,674 ≈ 573,99 a 507 + 118 × 0,674 ≈ 586,59 bodu. c) Týž výsledek 600 bodů má v náročnější skupině absolventů nižší relativní polohu a k dosažení 75. percentilu je v ní potřeba asi o 13 bodů více. Percentilové pořadí a percentily proto vždy uvádíme spolu s referenční skupinou; výsledek „81. percentil“ bez ní nelze správně interpretovat. Údaje jsou historické (1981) a výpočet předpokládá normální rozdělení výsledků.</t>
  </si>
  <si>
    <t>Úkol 7: T-skóry, další škály, steny a staniny</t>
  </si>
  <si>
    <t>T-skóry dotazníku problémového chování: model N(50, 10). Pásma podle tabulek kapitoly 4 (horní mez pásma patří do pásma).</t>
  </si>
  <si>
    <t>T = 35</t>
  </si>
  <si>
    <t>T = 50</t>
  </si>
  <si>
    <t>T = 58</t>
  </si>
  <si>
    <t>T = 65</t>
  </si>
  <si>
    <t>Horní 2 %</t>
  </si>
  <si>
    <t>T-skór 1</t>
  </si>
  <si>
    <t>T-skór 2</t>
  </si>
  <si>
    <t>T-skór 3</t>
  </si>
  <si>
    <t>T-skór 4</t>
  </si>
  <si>
    <t>Podíl vlevo pro horní 2 %</t>
  </si>
  <si>
    <t>Dotazník problémového chování vyjadřuje výsledky T-skóry; předpokládejte, že v populaci mají normální rozdělení s průměrem 50 a směrodatnou odchylkou 10.</t>
  </si>
  <si>
    <t>Úkol 7. a) Jaký T-skór je hranicí horních 2 % populace? b) Převeďte T-skóry 35, 50, 58, 65 a hranici z a) na z-skór, IQ-skór (100/15), standardní subtestový skór (10/3), sten, stanin a modelové percentilové pořadí. Které převody předpokládají normální model?</t>
  </si>
  <si>
    <t>Zdroj: Howell (2013), s. 80, úloha 3.18 (hranice horních 2 %); převody doplněny pro tuto výuku.</t>
  </si>
  <si>
    <t>a) Hranice horních 2 % (T)</t>
  </si>
  <si>
    <t>Sten hranice</t>
  </si>
  <si>
    <t>Stanin hranice</t>
  </si>
  <si>
    <t>T = T-skór (průměr 50, směrodatná odchylka 10); z = odpovídající z-skór.</t>
  </si>
  <si>
    <t>IQ-skór: 100 + 15z; standardní subtestový skór: 10 + 3z; T-skór: 50 + 10z.</t>
  </si>
  <si>
    <t>Pomocnou hodnotu zaokrouhlíme na celé číslo (přesná půlka dolů); sten omezíme na 1 až 10, stanin na 1 až 9.</t>
  </si>
  <si>
    <t>Jen tento převod předpokládá normální model; lineární převody a pásma podle z-mezí jej nepotřebují.</t>
  </si>
  <si>
    <t>Meze stenů (z)</t>
  </si>
  <si>
    <t>Meze staninů (z)</t>
  </si>
  <si>
    <t>z-skór a hranice horních 2 %</t>
  </si>
  <si>
    <t>1. z-skór = (T − 50) / 10; pro horní 2 %: z = NORM.S.INV(0,98)</t>
  </si>
  <si>
    <t>= (D4-50)/10</t>
  </si>
  <si>
    <t>2. T-skór = 50 + 10 × z</t>
  </si>
  <si>
    <t>= 50+10*R5</t>
  </si>
  <si>
    <t>Lineární převody (normální model nepotřebují)</t>
  </si>
  <si>
    <t>3. IQ-skór = 100 + 15 × z</t>
  </si>
  <si>
    <t>= 100+15*R5</t>
  </si>
  <si>
    <t>4. Subtestový skór = 10 + 3 × z</t>
  </si>
  <si>
    <t>= 10+3*R5</t>
  </si>
  <si>
    <t>Pásma: pomocná hodnota, zaokrouhlení (půlka dolů), sloučení krajů</t>
  </si>
  <si>
    <t>5. Pomocná hodnota stenu = 5,5 + 2 × z</t>
  </si>
  <si>
    <t>= 5,5+2*R5</t>
  </si>
  <si>
    <t>6. Sten = zaokrouhlení (půlka dolů), omezené na 1 až 10</t>
  </si>
  <si>
    <t>= MIN(10;MAX(1;-CELÁ.ČÁST(0,5-R11)))</t>
  </si>
  <si>
    <t>7. Pomocná hodnota staninu = 5 + 2 × z</t>
  </si>
  <si>
    <t>= 5+2*R5</t>
  </si>
  <si>
    <t>8. Stanin = zaokrouhlení (půlka dolů), omezené na 1 až 9</t>
  </si>
  <si>
    <t>= MIN(9;MAX(1;-CELÁ.ČÁST(0,5-R13)))</t>
  </si>
  <si>
    <t>Převod, který normální model předpokládá</t>
  </si>
  <si>
    <t>9. Modelové percentilové pořadí = 100 × NORM.S.DIST(z; PRAVDA)</t>
  </si>
  <si>
    <t>= 100*NORM.S.DIST(R5;PRAVDA)</t>
  </si>
  <si>
    <t>Kontrola</t>
  </si>
  <si>
    <t>Kontrola: NORM.INV (NORM.INV) pro hranici; u ostatních T ze zadání</t>
  </si>
  <si>
    <t>= D4</t>
  </si>
  <si>
    <t>Kontrola: sten = 1 + počet horních mezí stenů menších než z (COUNTIFS)</t>
  </si>
  <si>
    <t>= 1+COUNTIFS(K4:K12;"&lt;"&amp;R5)</t>
  </si>
  <si>
    <t>Kontrola: stanin = 1 + počet horních mezí staninů menších než z (COUNTIFS)</t>
  </si>
  <si>
    <t>= 1+COUNTIFS(L4:L11;"&lt;"&amp;R5)</t>
  </si>
  <si>
    <t>a) Hranice horních 2 % je 98. percentil: vlevo od ní leží 98 %. NORM.S.INV(0,98) ≈ 2,054, a tedy T = 50 + 10 × 2,054 ≈ 70,54. b) Všechny převody vycházejí ze z-skóru: z = (T − 50) / 10, tedy −1,5; 0; 0,8; 1,5 a 2,054. Lineární škály: IQ-skór = 100 + 15z (77,5; 100; 112; 122,5; 130,81) a subtestový skór = 10 + 3z (5,5; 10; 12,4; 14,5; 16,16). Steny: pomocná hodnota 5,5 + 2z se zaokrouhlí na celé číslo, přesná půlka dolů, a výsledek se omezí na 1 až 10; vychází sten 2, 5, 7, 8 a 10. Například T = 35 má pomocnou hodnotu přesně 2,5 a patří do stenu 2, protože z = −1,5 je horní mez stenu 2. Staniny obdobně z 5 + 2z v rozsahu 1 až 9: 2, 5, 7, 8 a 9. Kontrola v zelených řádcích počítá, kolik horních mezí pásem (sloupce K a L: horní meze stenů 1–9 a staninů 1–8) leží pod z. Vzorec −CELÁ.ČÁST(0,5 − hodnota) zaokrouhlí nahoru hodnotu zmenšenou o 0,5, a tím přesnou půlku zaokrouhlí dolů. Modelové percentilové pořadí (6,7; 50; 78,8; 93,3; 98,0) jako jediné předpokládá normální rozdělení T-skórů; lineární převody a pásma podle z-mezí jej nepotřebují. Interpretace: vyšší T zde znamená více problémového chování, ne lepší výsledek; skutečný test vyhodnocujeme podle jeho manuálu.</t>
  </si>
  <si>
    <t>Úkol 8: Normální Q–Q graf</t>
  </si>
  <si>
    <t>Stejných 16 hodnot jako na listu U1_z_skor, seřazené vzestupně; sloupec C je pořadí i.</t>
  </si>
  <si>
    <t>Pořadí i</t>
  </si>
  <si>
    <t>Úkol 8. Pro 16 seřazených hodnot v D4:D19 spočítejte souřadnice normálního Q–Q grafu: podíl p = (i − 0,5) / n, teoretický kvantil z = NORM.S.INV(p) a referenční hodnotu m + s z. Vytvořte bodový graf (XY): vodorovně z, svisle seřazené hodnoty; jako druhou řadu přidejte referenční přímku. Odpovídají data normálnímu modelu? Co ukazují vodorovné „schody“ bodů?</t>
  </si>
  <si>
    <t>Zdroj: data z úlohy 3.1, postup podle úloh 3.20–3.21; Howell (2013), s. 79 a 81. Česká adaptace.</t>
  </si>
  <si>
    <t>p pro první pořadí</t>
  </si>
  <si>
    <t>z pro první pořadí</t>
  </si>
  <si>
    <t>z pro poslední pořadí</t>
  </si>
  <si>
    <t>Referenční hodnota pro první pořadí</t>
  </si>
  <si>
    <t>i = pořadí v seřazené řadě (1 až n); pᵢ = podíl uprostřed i-tého dílku, nikdy 0 ani 1.</t>
  </si>
  <si>
    <t>Vodorovná souřadnice bodu; svislá souřadnice je i-tá seřazená hodnota.</t>
  </si>
  <si>
    <t>m a s = průměr a výběrová směrodatná odchylka dat; přímka udává hodnotu očekávanou v normálním modelu.</t>
  </si>
  <si>
    <t>Podíl p</t>
  </si>
  <si>
    <t>Teoretický kvantil z</t>
  </si>
  <si>
    <t>Referenční hodnota</t>
  </si>
  <si>
    <t>3. Součet čtverců odchylek (sloupec N)</t>
  </si>
  <si>
    <t>= SUMA(N4:N19)</t>
  </si>
  <si>
    <t>4. Směrodatná odchylka s = odmocnina ze součtu čtverců / (n − 1)</t>
  </si>
  <si>
    <t>= ODMOCNINA(R6/(R4-1))</t>
  </si>
  <si>
    <t>Souřadnice (sloupce K až M), první a poslední bod</t>
  </si>
  <si>
    <t>5. p pro i = 1: (1 − 0,5) / n</t>
  </si>
  <si>
    <t>= (1-0,5)/R4</t>
  </si>
  <si>
    <t>6. z pro i = 1: NORM.S.INV(p)</t>
  </si>
  <si>
    <t>= NORM.S.INV(R9)</t>
  </si>
  <si>
    <t>7. z pro i = n: NORM.S.INV((n − 0,5) / n)</t>
  </si>
  <si>
    <t>= NORM.S.INV((R4-0,5)/R4)</t>
  </si>
  <si>
    <t>8. Referenční hodnota pro i = 1: m + s × z</t>
  </si>
  <si>
    <t>= R5+R7*R10</t>
  </si>
  <si>
    <t>9. Referenční hodnota pro i = n: m + s × z</t>
  </si>
  <si>
    <t>= R5+R7*R11</t>
  </si>
  <si>
    <t>Kontrola: souměrnost: −z pro poslední pořadí</t>
  </si>
  <si>
    <t>= -R11</t>
  </si>
  <si>
    <t>Každé pořadí i dostane podíl uprostřed svého dílku, p = (i − 0,5) / 16: od 0,031 pro nejmenší hodnotu po 0,969 pro největší. Podíly 0 a 1 tak nevzniknou a NORM.S.INV vrátí konečné kvantily od −1,86 do 1,86 (sloupec L). Referenční přímka (sloupec M) převádí kvantil do jednotek dat pomocí m = 4 a s ≈ 1,633: od 0,96 do 7,04. Graf v oblasti G24:O48 má na vodorovné ose teoretický kvantil a na svislé seřazenou hodnotu; první bod je (−1,86; 1), poslední (1,86; 7). Body leží blízko přímky a netvoří oblouk ani stočené konce: rozdělení je souměrné a jeho tvar je s normálním modelem slučitelný. Vodorovné „schody“ vznikají, protože se hodnoty opakují (například čtyřikrát 4); stejná hodnota dostane různé kvantily podle pořadí. U 16 hodnot o chvostech populace mnoho nevíme a slučitelnost s modelem není důkazem normality. Hodnoty z ve sloupci L nejsou z-skóry hodnot ze sloupce D: jsou to kvantily modelu přiřazené pořadím.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</si>
</sst>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
  </numFmts>
  <fonts count="6" x14ac:knownFonts="1">
    <font>
      <sz val="11"/>
      <color theme="1"/>
      <name val="Aptos Narrow"/>
      <family val="2"/>
      <charset val="238"/>
      <scheme val="minor"/>
    </font>
    <font>
      <b/>
      <sz val="14"/>
      <color rgb="FF142A3B"/>
      <name val="Aptos Narrow"/>
      <family val="2"/>
      <scheme val="minor"/>
    </font>
    <font>
      <sz val="11"/>
      <color rgb="FF576574"/>
      <name val="Aptos Narrow"/>
      <family val="2"/>
      <charset val="238"/>
      <scheme val="minor"/>
    </font>
    <font>
      <b/>
      <sz val="11"/>
      <color rgb="FFFFFFFF"/>
      <name val="Aptos Narrow"/>
      <family val="2"/>
      <scheme val="minor"/>
    </font>
    <font>
      <b/>
      <sz val="11"/>
      <color rgb="FF176A83"/>
      <name val="Aptos Narrow"/>
      <family val="2"/>
      <scheme val="minor"/>
    </font>
    <font>
      <i/>
      <sz val="11"/>
      <color theme="1"/>
      <name val="Aptos Narrow"/>
      <family val="2"/>
      <scheme val="minor"/>
    </font>
  </fonts>
  <fills count="8">
    <fill>
      <patternFill patternType="none"/>
    </fill>
    <fill>
      <patternFill patternType="gray125"/>
    </fill>
    <fill>
      <patternFill patternType="solid">
        <fgColor rgb="FF142A3B"/>
        <bgColor indexed="64"/>
      </patternFill>
    </fill>
    <fill>
      <patternFill patternType="solid">
        <fgColor rgb="FFFFF2CC"/>
        <bgColor indexed="64"/>
      </patternFill>
    </fill>
    <fill>
      <patternFill patternType="solid">
        <fgColor rgb="FFDDEBF7"/>
        <bgColor indexed="64"/>
      </patternFill>
    </fill>
    <fill>
      <patternFill patternType="solid">
        <fgColor rgb="FFE2EFDA"/>
        <bgColor indexed="64"/>
      </patternFill>
    </fill>
    <fill>
      <patternFill patternType="solid">
        <fgColor rgb="FF176A83"/>
        <bgColor indexed="64"/>
      </patternFill>
    </fill>
    <fill>
      <patternFill patternType="solid">
        <fgColor rgb="FFEEF5FB"/>
        <bgColor indexed="64"/>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applyAlignment="1">
      <alignment vertical="top"/>
    </xf>
    <xf numFmtId="0" fontId="2" fillId="0" borderId="0" xfId="0" applyFont="1" applyAlignment="1">
      <alignment vertical="top"/>
    </xf>
    <xf numFmtId="0" fontId="3" fillId="2" borderId="0" xfId="0" applyFont="1" applyFill="1" applyAlignment="1">
      <alignment vertical="center" wrapText="1"/>
    </xf>
    <xf numFmtId="0" fontId="0" fillId="0" borderId="0" xfId="0" applyAlignment="1">
      <alignment wrapText="1"/>
    </xf>
    <xf numFmtId="0" fontId="0" fillId="0" borderId="0" xfId="0" applyAlignment="1">
      <alignment vertical="top" wrapText="1"/>
    </xf>
    <xf numFmtId="0" fontId="4"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6" borderId="0" xfId="0" applyFont="1" applyFill="1" applyAlignment="1">
      <alignment vertical="center" wrapText="1"/>
    </xf>
    <xf numFmtId="0" fontId="2" fillId="0" borderId="0" xfId="0" applyFont="1" applyAlignment="1">
      <alignment vertical="top" wrapText="1"/>
    </xf>
    <xf numFmtId="0" fontId="0" fillId="3" borderId="0" xfId="0" applyFill="1"/>
    <xf numFmtId="164" fontId="0" fillId="3" borderId="0" xfId="0" applyNumberFormat="1" applyFill="1"/>
    <xf numFmtId="2" fontId="0" fillId="3" borderId="0" xfId="0" applyNumberFormat="1" applyFill="1"/>
    <xf numFmtId="0" fontId="2" fillId="0" borderId="0" xfId="0" applyFont="1" applyAlignment="1">
      <alignment horizontal="center"/>
    </xf>
    <xf numFmtId="0" fontId="0" fillId="7" borderId="0" xfId="0" applyFill="1"/>
    <xf numFmtId="164" fontId="0" fillId="7" borderId="0" xfId="0" applyNumberFormat="1" applyFill="1"/>
    <xf numFmtId="0" fontId="0" fillId="4" borderId="0" xfId="0" applyFill="1" applyAlignment="1">
      <alignment vertical="top"/>
    </xf>
    <xf numFmtId="164" fontId="0" fillId="4" borderId="0" xfId="0" applyNumberFormat="1" applyFill="1" applyAlignment="1">
      <alignment vertical="top"/>
    </xf>
    <xf numFmtId="0" fontId="4" fillId="0" borderId="0" xfId="0" applyFont="1"/>
    <xf numFmtId="2" fontId="0" fillId="4" borderId="0" xfId="0" applyNumberFormat="1" applyFill="1" applyAlignment="1">
      <alignment vertical="top"/>
    </xf>
    <xf numFmtId="164" fontId="0" fillId="5" borderId="0" xfId="0" applyNumberFormat="1" applyFill="1" applyAlignment="1">
      <alignment vertical="top"/>
    </xf>
    <xf numFmtId="0" fontId="0" fillId="5" borderId="0" xfId="0" applyFill="1" applyAlignment="1">
      <alignment horizontal="center" vertical="top"/>
    </xf>
    <xf numFmtId="2" fontId="0" fillId="5" borderId="0" xfId="0" applyNumberFormat="1" applyFill="1" applyAlignment="1">
      <alignment vertical="top"/>
    </xf>
    <xf numFmtId="165" fontId="0" fillId="3" borderId="0" xfId="0" applyNumberFormat="1" applyFill="1"/>
    <xf numFmtId="166" fontId="0" fillId="4" borderId="0" xfId="0" applyNumberFormat="1"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2" fontId="0" fillId="0" borderId="0" xfId="0" applyNumberFormat="1"/>
    <xf numFmtId="167" fontId="0" fillId="3" borderId="0" xfId="0" applyNumberFormat="1" applyFill="1"/>
    <xf numFmtId="167" fontId="0" fillId="4" borderId="0" xfId="0" applyNumberFormat="1" applyFill="1" applyAlignment="1">
      <alignment vertical="top"/>
    </xf>
    <xf numFmtId="166" fontId="0" fillId="5" borderId="0" xfId="0" applyNumberFormat="1" applyFill="1" applyAlignment="1">
      <alignment vertical="top"/>
    </xf>
    <xf numFmtId="2" fontId="0" fillId="7" borderId="0" xfId="0" applyNumberFormat="1" applyFill="1"/>
    <xf numFmtId="1" fontId="0" fillId="4" borderId="0" xfId="0" applyNumberFormat="1" applyFill="1" applyAlignment="1">
      <alignment vertical="top"/>
    </xf>
    <xf numFmtId="1" fontId="0" fillId="5" borderId="0" xfId="0" applyNumberFormat="1" applyFill="1" applyAlignment="1">
      <alignment vertical="top"/>
    </xf>
    <xf numFmtId="166" fontId="0" fillId="3" borderId="0" xfId="0" applyNumberFormat="1" applyFill="1"/>
    <xf numFmtId="166" fontId="0" fillId="7" borderId="0" xfId="0" applyNumberFormat="1" applyFill="1"/>
    <xf numFmtId="0" fontId="0" fillId="0" borderId="0" xfId="0" applyAlignment="1">
      <alignment vertical="top" wrapText="1"/>
    </xf>
    <xf numFmtId="0" fontId="3" fillId="6" borderId="0" xfId="0" applyFont="1" applyFill="1" applyAlignment="1">
      <alignment vertical="center" wrapText="1"/>
    </xf>
    <xf numFmtId="0" fontId="5" fillId="0" borderId="0" xfId="0" applyFont="1" applyAlignment="1">
      <alignment vertical="top" wrapText="1"/>
    </xf>
    <xf numFmtId="0" fontId="2" fillId="0" borderId="0" xfId="0" applyFont="1" applyAlignment="1">
      <alignment vertical="top"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a:pPr>
            <a:r>
              <a:rPr lang="cs-CZ"/>
              <a:t>Normální Q–Q graf</a:t>
            </a:r>
          </a:p>
        </c:rich>
      </c:tx>
      <c:overlay val="0"/>
    </c:title>
    <c:autoTitleDeleted val="0"/>
    <c:plotArea>
      <c:layout/>
      <c:scatterChart>
        <c:scatterStyle val="lineMarker"/>
        <c:varyColors val="0"/>
        <c:ser>
          <c:idx val="0"/>
          <c:order val="0"/>
          <c:tx>
            <c:v>Seřazené hodnoty</c:v>
          </c:tx>
          <c:spPr>
            <a:ln w="38100">
              <a:noFill/>
            </a:ln>
          </c:spPr>
          <c:marker>
            <c:symbol val="circle"/>
            <c:size val="6"/>
            <c:spPr>
              <a:solidFill>
                <a:srgbClr val="176A83"/>
              </a:solidFill>
              <a:ln>
                <a:solidFill>
                  <a:srgbClr val="176A83"/>
                </a:solidFill>
                <a:prstDash val="solid"/>
              </a:ln>
            </c:spPr>
          </c:marker>
          <c:xVal>
            <c:numRef>
              <c:f>U8_QQ!$L$4:$L$19</c:f>
              <c:numCache>
                <c:formatCode>0.000</c:formatCode>
                <c:ptCount val="16"/>
                <c:pt idx="0">
                  <c:v>-1.8627318674216511</c:v>
                </c:pt>
                <c:pt idx="1">
                  <c:v>-1.3180108973035372</c:v>
                </c:pt>
                <c:pt idx="2">
                  <c:v>-1.0099901692495805</c:v>
                </c:pt>
                <c:pt idx="3">
                  <c:v>-0.77642176114792794</c:v>
                </c:pt>
                <c:pt idx="4">
                  <c:v>-0.57913216225555586</c:v>
                </c:pt>
                <c:pt idx="5">
                  <c:v>-0.40225006532172536</c:v>
                </c:pt>
                <c:pt idx="6">
                  <c:v>-0.23720210932878771</c:v>
                </c:pt>
                <c:pt idx="7">
                  <c:v>-7.8412412733112211E-2</c:v>
                </c:pt>
                <c:pt idx="8">
                  <c:v>7.8412412733112211E-2</c:v>
                </c:pt>
                <c:pt idx="9">
                  <c:v>0.23720210932878771</c:v>
                </c:pt>
                <c:pt idx="10">
                  <c:v>0.40225006532172536</c:v>
                </c:pt>
                <c:pt idx="11">
                  <c:v>0.57913216225555586</c:v>
                </c:pt>
                <c:pt idx="12">
                  <c:v>0.77642176114792794</c:v>
                </c:pt>
                <c:pt idx="13">
                  <c:v>1.0099901692495805</c:v>
                </c:pt>
                <c:pt idx="14">
                  <c:v>1.3180108973035372</c:v>
                </c:pt>
                <c:pt idx="15">
                  <c:v>1.8627318674216511</c:v>
                </c:pt>
              </c:numCache>
            </c:numRef>
          </c:xVal>
          <c:yVal>
            <c:numRef>
              <c:f>U8_QQ!$D$4:$D$19</c:f>
              <c:numCache>
                <c:formatCode>General</c:formatCode>
                <c:ptCount val="16"/>
                <c:pt idx="0">
                  <c:v>1</c:v>
                </c:pt>
                <c:pt idx="1">
                  <c:v>2</c:v>
                </c:pt>
                <c:pt idx="2">
                  <c:v>2</c:v>
                </c:pt>
                <c:pt idx="3">
                  <c:v>3</c:v>
                </c:pt>
                <c:pt idx="4">
                  <c:v>3</c:v>
                </c:pt>
                <c:pt idx="5">
                  <c:v>3</c:v>
                </c:pt>
                <c:pt idx="6">
                  <c:v>4</c:v>
                </c:pt>
                <c:pt idx="7">
                  <c:v>4</c:v>
                </c:pt>
                <c:pt idx="8">
                  <c:v>4</c:v>
                </c:pt>
                <c:pt idx="9">
                  <c:v>4</c:v>
                </c:pt>
                <c:pt idx="10">
                  <c:v>5</c:v>
                </c:pt>
                <c:pt idx="11">
                  <c:v>5</c:v>
                </c:pt>
                <c:pt idx="12">
                  <c:v>5</c:v>
                </c:pt>
                <c:pt idx="13">
                  <c:v>6</c:v>
                </c:pt>
                <c:pt idx="14">
                  <c:v>6</c:v>
                </c:pt>
                <c:pt idx="15">
                  <c:v>7</c:v>
                </c:pt>
              </c:numCache>
            </c:numRef>
          </c:yVal>
          <c:smooth val="0"/>
          <c:extLst>
            <c:ext xmlns:c16="http://schemas.microsoft.com/office/drawing/2014/chart" uri="{C3380CC4-5D6E-409C-BE32-E72D297353CC}">
              <c16:uniqueId val="{00000001-D6DE-492A-BCE0-1DECA8CE2714}"/>
            </c:ext>
          </c:extLst>
        </c:ser>
        <c:ser>
          <c:idx val="1"/>
          <c:order val="1"/>
          <c:tx>
            <c:v>Referenční přímka m + s z</c:v>
          </c:tx>
          <c:spPr>
            <a:ln w="22225">
              <a:solidFill>
                <a:srgbClr val="B6462B"/>
              </a:solidFill>
              <a:prstDash val="dash"/>
            </a:ln>
          </c:spPr>
          <c:marker>
            <c:symbol val="none"/>
          </c:marker>
          <c:xVal>
            <c:numRef>
              <c:f>U8_QQ!$L$4:$L$19</c:f>
              <c:numCache>
                <c:formatCode>0.000</c:formatCode>
                <c:ptCount val="16"/>
                <c:pt idx="0">
                  <c:v>-1.8627318674216511</c:v>
                </c:pt>
                <c:pt idx="1">
                  <c:v>-1.3180108973035372</c:v>
                </c:pt>
                <c:pt idx="2">
                  <c:v>-1.0099901692495805</c:v>
                </c:pt>
                <c:pt idx="3">
                  <c:v>-0.77642176114792794</c:v>
                </c:pt>
                <c:pt idx="4">
                  <c:v>-0.57913216225555586</c:v>
                </c:pt>
                <c:pt idx="5">
                  <c:v>-0.40225006532172536</c:v>
                </c:pt>
                <c:pt idx="6">
                  <c:v>-0.23720210932878771</c:v>
                </c:pt>
                <c:pt idx="7">
                  <c:v>-7.8412412733112211E-2</c:v>
                </c:pt>
                <c:pt idx="8">
                  <c:v>7.8412412733112211E-2</c:v>
                </c:pt>
                <c:pt idx="9">
                  <c:v>0.23720210932878771</c:v>
                </c:pt>
                <c:pt idx="10">
                  <c:v>0.40225006532172536</c:v>
                </c:pt>
                <c:pt idx="11">
                  <c:v>0.57913216225555586</c:v>
                </c:pt>
                <c:pt idx="12">
                  <c:v>0.77642176114792794</c:v>
                </c:pt>
                <c:pt idx="13">
                  <c:v>1.0099901692495805</c:v>
                </c:pt>
                <c:pt idx="14">
                  <c:v>1.3180108973035372</c:v>
                </c:pt>
                <c:pt idx="15">
                  <c:v>1.8627318674216511</c:v>
                </c:pt>
              </c:numCache>
            </c:numRef>
          </c:xVal>
          <c:yVal>
            <c:numRef>
              <c:f>U8_QQ!$M$4:$M$19</c:f>
              <c:numCache>
                <c:formatCode>0.000</c:formatCode>
                <c:ptCount val="16"/>
                <c:pt idx="0">
                  <c:v>0.95817159813020725</c:v>
                </c:pt>
                <c:pt idx="1">
                  <c:v>1.8476972174523554</c:v>
                </c:pt>
                <c:pt idx="2">
                  <c:v>2.3506929600742046</c:v>
                </c:pt>
                <c:pt idx="3">
                  <c:v>2.7321085733296666</c:v>
                </c:pt>
                <c:pt idx="4">
                  <c:v>3.0542811392261151</c:v>
                </c:pt>
                <c:pt idx="5">
                  <c:v>3.3431283939737133</c:v>
                </c:pt>
                <c:pt idx="6">
                  <c:v>3.6126505774884006</c:v>
                </c:pt>
                <c:pt idx="7">
                  <c:v>3.8719530662022406</c:v>
                </c:pt>
                <c:pt idx="8">
                  <c:v>4.1280469337977594</c:v>
                </c:pt>
                <c:pt idx="9">
                  <c:v>4.3873494225115994</c:v>
                </c:pt>
                <c:pt idx="10">
                  <c:v>4.6568716060262867</c:v>
                </c:pt>
                <c:pt idx="11">
                  <c:v>4.9457188607738853</c:v>
                </c:pt>
                <c:pt idx="12">
                  <c:v>5.2678914266703334</c:v>
                </c:pt>
                <c:pt idx="13">
                  <c:v>5.6493070399257954</c:v>
                </c:pt>
                <c:pt idx="14">
                  <c:v>6.1523027825476451</c:v>
                </c:pt>
                <c:pt idx="15">
                  <c:v>7.0418284018697932</c:v>
                </c:pt>
              </c:numCache>
            </c:numRef>
          </c:yVal>
          <c:smooth val="0"/>
          <c:extLst>
            <c:ext xmlns:c16="http://schemas.microsoft.com/office/drawing/2014/chart" uri="{C3380CC4-5D6E-409C-BE32-E72D297353CC}">
              <c16:uniqueId val="{00000002-D6DE-492A-BCE0-1DECA8CE2714}"/>
            </c:ext>
          </c:extLst>
        </c:ser>
        <c:dLbls>
          <c:showLegendKey val="0"/>
          <c:showVal val="0"/>
          <c:showCatName val="0"/>
          <c:showSerName val="0"/>
          <c:showPercent val="0"/>
          <c:showBubbleSize val="0"/>
        </c:dLbls>
        <c:axId val="1018727791"/>
        <c:axId val="1018711951"/>
      </c:scatterChart>
      <c:valAx>
        <c:axId val="1018727791"/>
        <c:scaling>
          <c:orientation val="minMax"/>
          <c:max val="2"/>
          <c:min val="-2"/>
        </c:scaling>
        <c:delete val="0"/>
        <c:axPos val="b"/>
        <c:title>
          <c:tx>
            <c:rich>
              <a:bodyPr/>
              <a:lstStyle/>
              <a:p>
                <a:pPr>
                  <a:defRPr/>
                </a:pPr>
                <a:r>
                  <a:rPr lang="cs-CZ"/>
                  <a:t>Teoretický kvantil normovaného normálního rozdělení (z)</a:t>
                </a:r>
              </a:p>
            </c:rich>
          </c:tx>
          <c:overlay val="0"/>
        </c:title>
        <c:numFmt formatCode="0.0" sourceLinked="0"/>
        <c:majorTickMark val="out"/>
        <c:minorTickMark val="none"/>
        <c:tickLblPos val="low"/>
        <c:crossAx val="1018711951"/>
        <c:crosses val="autoZero"/>
        <c:crossBetween val="midCat"/>
        <c:majorUnit val="1"/>
      </c:valAx>
      <c:valAx>
        <c:axId val="1018711951"/>
        <c:scaling>
          <c:orientation val="minMax"/>
        </c:scaling>
        <c:delete val="0"/>
        <c:axPos val="l"/>
        <c:title>
          <c:tx>
            <c:rich>
              <a:bodyPr/>
              <a:lstStyle/>
              <a:p>
                <a:pPr>
                  <a:defRPr/>
                </a:pPr>
                <a:r>
                  <a:rPr lang="cs-CZ"/>
                  <a:t>Seřazená hodnota</a:t>
                </a:r>
              </a:p>
            </c:rich>
          </c:tx>
          <c:overlay val="0"/>
        </c:title>
        <c:numFmt formatCode="0" sourceLinked="0"/>
        <c:majorTickMark val="out"/>
        <c:minorTickMark val="none"/>
        <c:tickLblPos val="low"/>
        <c:crossAx val="1018727791"/>
        <c:crossesAt val="-2"/>
        <c:crossBetween val="midCat"/>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sz="1100">
          <a:latin typeface="Arial"/>
          <a:ea typeface="Arial"/>
          <a:cs typeface="Arial"/>
        </a:defRPr>
      </a:pPr>
      <a:endParaRPr lang="cs-CZ"/>
    </a:p>
  </c:txPr>
  <c:printSettings>
    <c:headerFooter/>
    <c:pageMargins b="0.78740157499999996" l="0.7" r="0.7" t="0.78740157499999996" header="0.3" footer="0.3"/>
    <c:pageSetup/>
  </c:printSettings>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m = (1/n) × součet x_i pro i od 1 do n">
              <a:extLst>
                <a:ext uri="{FF2B5EF4-FFF2-40B4-BE49-F238E27FC236}">
                  <a16:creationId xmlns:a16="http://schemas.microsoft.com/office/drawing/2014/main" id="{00000000-0008-0000-01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𝑚</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1</m:t>
                        </m:r>
                      </m:num>
                      <m:den>
                        <m:r>
                          <a:rPr lang="cs-CZ" sz="1300" i="1">
                            <a:solidFill>
                              <a:srgbClr val="142A3B"/>
                            </a:solidFill>
                            <a:latin typeface="Cambria Math" panose="02040503050406030204" pitchFamily="18" charset="0"/>
                            <a:ea typeface="Cambria Math" panose="02040503050406030204" pitchFamily="18" charset="0"/>
                          </a:rPr>
                          <m:t>𝑛</m:t>
                        </m:r>
                      </m:den>
                    </m:f>
                    <m:nary>
                      <m:naryPr>
                        <m:chr m:val="∑"/>
                        <m:limLoc m:val="undOvr"/>
                        <m:ctrlPr>
                          <a:rPr lang="cs-CZ" sz="1300" i="1">
                            <a:solidFill>
                              <a:srgbClr val="142A3B"/>
                            </a:solidFill>
                            <a:latin typeface="Cambria Math" panose="02040503050406030204" pitchFamily="18" charset="0"/>
                            <a:ea typeface="Cambria Math" panose="02040503050406030204" pitchFamily="18" charset="0"/>
                          </a:rPr>
                        </m:ctrlPr>
                      </m:naryPr>
                      <m:sub>
                        <m:r>
                          <a:rPr lang="cs-CZ" sz="1300" i="1">
                            <a:solidFill>
                              <a:srgbClr val="142A3B"/>
                            </a:solidFill>
                            <a:latin typeface="Cambria Math" panose="02040503050406030204" pitchFamily="18" charset="0"/>
                            <a:ea typeface="Cambria Math" panose="02040503050406030204" pitchFamily="18" charset="0"/>
                          </a:rPr>
                          <m:t>𝑖</m:t>
                        </m:r>
                        <m:r>
                          <a:rPr lang="cs-CZ" sz="1300" i="1">
                            <a:solidFill>
                              <a:srgbClr val="142A3B"/>
                            </a:solidFill>
                            <a:latin typeface="Cambria Math" panose="02040503050406030204" pitchFamily="18" charset="0"/>
                            <a:ea typeface="Cambria Math" panose="02040503050406030204" pitchFamily="18" charset="0"/>
                          </a:rPr>
                          <m:t>=1</m:t>
                        </m:r>
                      </m:sub>
                      <m:sup>
                        <m:r>
                          <a:rPr lang="cs-CZ" sz="1300" i="1">
                            <a:solidFill>
                              <a:srgbClr val="142A3B"/>
                            </a:solidFill>
                            <a:latin typeface="Cambria Math" panose="02040503050406030204" pitchFamily="18" charset="0"/>
                            <a:ea typeface="Cambria Math" panose="02040503050406030204" pitchFamily="18" charset="0"/>
                          </a:rPr>
                          <m:t>𝑛</m:t>
                        </m:r>
                      </m:sup>
                      <m:e>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𝑥</m:t>
                            </m:r>
                          </m:e>
                          <m:sub>
                            <m:r>
                              <a:rPr lang="cs-CZ" sz="1300" i="1">
                                <a:solidFill>
                                  <a:srgbClr val="142A3B"/>
                                </a:solidFill>
                                <a:latin typeface="Cambria Math" panose="02040503050406030204" pitchFamily="18" charset="0"/>
                                <a:ea typeface="Cambria Math" panose="02040503050406030204" pitchFamily="18" charset="0"/>
                              </a:rPr>
                              <m:t>𝑖</m:t>
                            </m:r>
                          </m:sub>
                        </m:sSub>
                      </m:e>
                    </m:nary>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m = (1/n) × součet x_i pro i od 1 do n"/>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m = (1/n) × součet x_i pro i od 1 do n</a:t>
              </a:r>
            </a:p>
          </xdr:txBody>
        </xdr:sp>
      </mc:Fallback>
    </mc:AlternateContent>
    <xdr:clientData/>
  </xdr:oneCellAnchor>
  <xdr:oneCellAnchor>
    <xdr:from>
      <xdr:col>0</xdr:col>
      <xdr:colOff>20000</xdr:colOff>
      <xdr:row>31</xdr:row>
      <xdr:rowOff>25000</xdr:rowOff>
    </xdr:from>
    <xdr:ext cx="3560000" cy="635800"/>
    <mc:AlternateContent xmlns:mc="http://schemas.openxmlformats.org/markup-compatibility/2006" xmlns:a14="http://schemas.microsoft.com/office/drawing/2010/main">
      <mc:Choice Requires="a14">
        <xdr:sp macro="" textlink="">
          <xdr:nvSpPr>
            <xdr:cNvPr id="3" name="Rovnice 2" descr="s = odmocnina ze (součet (x_i − m)^2 pro i od 1 do n) / (n − 1)">
              <a:extLst>
                <a:ext uri="{FF2B5EF4-FFF2-40B4-BE49-F238E27FC236}">
                  <a16:creationId xmlns:a16="http://schemas.microsoft.com/office/drawing/2014/main" id="{00000000-0008-0000-0100-000003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𝑠</m:t>
                    </m:r>
                    <m:r>
                      <a:rPr lang="cs-CZ" sz="1300" i="1">
                        <a:solidFill>
                          <a:srgbClr val="142A3B"/>
                        </a:solidFill>
                        <a:latin typeface="Cambria Math" panose="02040503050406030204" pitchFamily="18" charset="0"/>
                        <a:ea typeface="Cambria Math" panose="02040503050406030204" pitchFamily="18" charset="0"/>
                      </a:rPr>
                      <m:t> = </m:t>
                    </m:r>
                    <m:rad>
                      <m:radPr>
                        <m:degHide m:val="on"/>
                        <m:ctrlPr>
                          <a:rPr lang="cs-CZ" sz="1300" i="1">
                            <a:solidFill>
                              <a:srgbClr val="142A3B"/>
                            </a:solidFill>
                            <a:latin typeface="Cambria Math" panose="02040503050406030204" pitchFamily="18" charset="0"/>
                            <a:ea typeface="Cambria Math" panose="02040503050406030204" pitchFamily="18" charset="0"/>
                          </a:rPr>
                        </m:ctrlPr>
                      </m:radPr>
                      <m:deg/>
                      <m:e>
                        <m:f>
                          <m:fPr>
                            <m:ctrlPr>
                              <a:rPr lang="cs-CZ" sz="1300" i="1">
                                <a:solidFill>
                                  <a:srgbClr val="142A3B"/>
                                </a:solidFill>
                                <a:latin typeface="Cambria Math" panose="02040503050406030204" pitchFamily="18" charset="0"/>
                                <a:ea typeface="Cambria Math" panose="02040503050406030204" pitchFamily="18" charset="0"/>
                              </a:rPr>
                            </m:ctrlPr>
                          </m:fPr>
                          <m:num>
                            <m:nary>
                              <m:naryPr>
                                <m:chr m:val="∑"/>
                                <m:limLoc m:val="undOvr"/>
                                <m:ctrlPr>
                                  <a:rPr lang="cs-CZ" sz="1300" i="1">
                                    <a:solidFill>
                                      <a:srgbClr val="142A3B"/>
                                    </a:solidFill>
                                    <a:latin typeface="Cambria Math" panose="02040503050406030204" pitchFamily="18" charset="0"/>
                                    <a:ea typeface="Cambria Math" panose="02040503050406030204" pitchFamily="18" charset="0"/>
                                  </a:rPr>
                                </m:ctrlPr>
                              </m:naryPr>
                              <m:sub>
                                <m:r>
                                  <a:rPr lang="cs-CZ" sz="1300" i="1">
                                    <a:solidFill>
                                      <a:srgbClr val="142A3B"/>
                                    </a:solidFill>
                                    <a:latin typeface="Cambria Math" panose="02040503050406030204" pitchFamily="18" charset="0"/>
                                    <a:ea typeface="Cambria Math" panose="02040503050406030204" pitchFamily="18" charset="0"/>
                                  </a:rPr>
                                  <m:t>𝑖</m:t>
                                </m:r>
                                <m:r>
                                  <a:rPr lang="cs-CZ" sz="1300" i="1">
                                    <a:solidFill>
                                      <a:srgbClr val="142A3B"/>
                                    </a:solidFill>
                                    <a:latin typeface="Cambria Math" panose="02040503050406030204" pitchFamily="18" charset="0"/>
                                    <a:ea typeface="Cambria Math" panose="02040503050406030204" pitchFamily="18" charset="0"/>
                                  </a:rPr>
                                  <m:t>=1</m:t>
                                </m:r>
                              </m:sub>
                              <m:sup>
                                <m:r>
                                  <a:rPr lang="cs-CZ" sz="1300" i="1">
                                    <a:solidFill>
                                      <a:srgbClr val="142A3B"/>
                                    </a:solidFill>
                                    <a:latin typeface="Cambria Math" panose="02040503050406030204" pitchFamily="18" charset="0"/>
                                    <a:ea typeface="Cambria Math" panose="02040503050406030204" pitchFamily="18" charset="0"/>
                                  </a:rPr>
                                  <m:t>𝑛</m:t>
                                </m:r>
                              </m:sup>
                              <m:e>
                                <m:sSup>
                                  <m:sSupPr>
                                    <m:ctrlPr>
                                      <a:rPr lang="cs-CZ" sz="1300" i="1">
                                        <a:solidFill>
                                          <a:srgbClr val="142A3B"/>
                                        </a:solidFill>
                                        <a:latin typeface="Cambria Math" panose="02040503050406030204" pitchFamily="18" charset="0"/>
                                        <a:ea typeface="Cambria Math" panose="02040503050406030204" pitchFamily="18" charset="0"/>
                                      </a:rPr>
                                    </m:ctrlPr>
                                  </m:sSupPr>
                                  <m:e>
                                    <m:d>
                                      <m:dPr>
                                        <m:ctrlPr>
                                          <a:rPr lang="cs-CZ" sz="1300" i="1">
                                            <a:solidFill>
                                              <a:srgbClr val="142A3B"/>
                                            </a:solidFill>
                                            <a:latin typeface="Cambria Math" panose="02040503050406030204" pitchFamily="18" charset="0"/>
                                            <a:ea typeface="Cambria Math" panose="02040503050406030204" pitchFamily="18" charset="0"/>
                                          </a:rPr>
                                        </m:ctrlPr>
                                      </m:dPr>
                                      <m:e>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𝑥</m:t>
                                            </m:r>
                                          </m:e>
                                          <m:sub>
                                            <m:r>
                                              <a:rPr lang="cs-CZ" sz="1300" i="1">
                                                <a:solidFill>
                                                  <a:srgbClr val="142A3B"/>
                                                </a:solidFill>
                                                <a:latin typeface="Cambria Math" panose="02040503050406030204" pitchFamily="18" charset="0"/>
                                                <a:ea typeface="Cambria Math" panose="02040503050406030204" pitchFamily="18" charset="0"/>
                                              </a:rPr>
                                              <m:t>𝑖</m:t>
                                            </m:r>
                                          </m:sub>
                                        </m:sSub>
                                        <m:r>
                                          <a:rPr lang="cs-CZ" sz="1300" i="1">
                                            <a:solidFill>
                                              <a:srgbClr val="142A3B"/>
                                            </a:solidFill>
                                            <a:latin typeface="Cambria Math" panose="02040503050406030204" pitchFamily="18" charset="0"/>
                                            <a:ea typeface="Cambria Math" panose="02040503050406030204" pitchFamily="18" charset="0"/>
                                          </a:rPr>
                                          <m:t> − </m:t>
                                        </m:r>
                                        <m:r>
                                          <a:rPr lang="cs-CZ" sz="1300" i="1">
                                            <a:solidFill>
                                              <a:srgbClr val="142A3B"/>
                                            </a:solidFill>
                                            <a:latin typeface="Cambria Math" panose="02040503050406030204" pitchFamily="18" charset="0"/>
                                            <a:ea typeface="Cambria Math" panose="02040503050406030204" pitchFamily="18" charset="0"/>
                                          </a:rPr>
                                          <m:t>𝑚</m:t>
                                        </m:r>
                                      </m:e>
                                    </m:d>
                                  </m:e>
                                  <m:sup>
                                    <m:r>
                                      <a:rPr lang="cs-CZ" sz="1300" i="1">
                                        <a:solidFill>
                                          <a:srgbClr val="142A3B"/>
                                        </a:solidFill>
                                        <a:latin typeface="Cambria Math" panose="02040503050406030204" pitchFamily="18" charset="0"/>
                                        <a:ea typeface="Cambria Math" panose="02040503050406030204" pitchFamily="18" charset="0"/>
                                      </a:rPr>
                                      <m:t>2</m:t>
                                    </m:r>
                                  </m:sup>
                                </m:sSup>
                              </m:e>
                            </m:nary>
                          </m:num>
                          <m:den>
                            <m:r>
                              <a:rPr lang="cs-CZ" sz="1300" i="1">
                                <a:solidFill>
                                  <a:srgbClr val="142A3B"/>
                                </a:solidFill>
                                <a:latin typeface="Cambria Math" panose="02040503050406030204" pitchFamily="18" charset="0"/>
                                <a:ea typeface="Cambria Math" panose="02040503050406030204" pitchFamily="18" charset="0"/>
                              </a:rPr>
                              <m:t>𝑛</m:t>
                            </m:r>
                            <m:r>
                              <a:rPr lang="cs-CZ" sz="1300" i="1">
                                <a:solidFill>
                                  <a:srgbClr val="142A3B"/>
                                </a:solidFill>
                                <a:latin typeface="Cambria Math" panose="02040503050406030204" pitchFamily="18" charset="0"/>
                                <a:ea typeface="Cambria Math" panose="02040503050406030204" pitchFamily="18" charset="0"/>
                              </a:rPr>
                              <m:t> − 1</m:t>
                            </m:r>
                          </m:den>
                        </m:f>
                      </m:e>
                    </m:rad>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s = odmocnina ze (součet (x_i − m)^2 pro i od 1 do n) / (n − 1)"/>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s = odmocnina ze (součet (x_i − m)^2 pro i od 1 do n) / (n − 1)</a:t>
              </a:r>
            </a:p>
          </xdr:txBody>
        </xdr:sp>
      </mc:Fallback>
    </mc:AlternateContent>
    <xdr:clientData/>
  </xdr:oneCellAnchor>
  <xdr:oneCellAnchor>
    <xdr:from>
      <xdr:col>0</xdr:col>
      <xdr:colOff>20000</xdr:colOff>
      <xdr:row>37</xdr:row>
      <xdr:rowOff>25000</xdr:rowOff>
    </xdr:from>
    <xdr:ext cx="3560000" cy="635800"/>
    <mc:AlternateContent xmlns:mc="http://schemas.openxmlformats.org/markup-compatibility/2006" xmlns:a14="http://schemas.microsoft.com/office/drawing/2010/main">
      <mc:Choice Requires="a14">
        <xdr:sp macro="" textlink="">
          <xdr:nvSpPr>
            <xdr:cNvPr id="4" name="Rovnice 3" descr="z_i = (x_i − m) / s">
              <a:extLst>
                <a:ext uri="{FF2B5EF4-FFF2-40B4-BE49-F238E27FC236}">
                  <a16:creationId xmlns:a16="http://schemas.microsoft.com/office/drawing/2014/main" id="{00000000-0008-0000-0100-000004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𝑧</m:t>
                        </m:r>
                      </m:e>
                      <m:sub>
                        <m:r>
                          <a:rPr lang="cs-CZ" sz="1300" i="1">
                            <a:solidFill>
                              <a:srgbClr val="142A3B"/>
                            </a:solidFill>
                            <a:latin typeface="Cambria Math" panose="02040503050406030204" pitchFamily="18" charset="0"/>
                            <a:ea typeface="Cambria Math" panose="02040503050406030204" pitchFamily="18" charset="0"/>
                          </a:rPr>
                          <m:t>𝑖</m:t>
                        </m:r>
                      </m:sub>
                    </m:sSub>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𝑥</m:t>
                            </m:r>
                          </m:e>
                          <m:sub>
                            <m:r>
                              <a:rPr lang="cs-CZ" sz="1300" i="1">
                                <a:solidFill>
                                  <a:srgbClr val="142A3B"/>
                                </a:solidFill>
                                <a:latin typeface="Cambria Math" panose="02040503050406030204" pitchFamily="18" charset="0"/>
                                <a:ea typeface="Cambria Math" panose="02040503050406030204" pitchFamily="18" charset="0"/>
                              </a:rPr>
                              <m:t>𝑖</m:t>
                            </m:r>
                          </m:sub>
                        </m:sSub>
                        <m:r>
                          <a:rPr lang="cs-CZ" sz="1300" i="1">
                            <a:solidFill>
                              <a:srgbClr val="142A3B"/>
                            </a:solidFill>
                            <a:latin typeface="Cambria Math" panose="02040503050406030204" pitchFamily="18" charset="0"/>
                            <a:ea typeface="Cambria Math" panose="02040503050406030204" pitchFamily="18" charset="0"/>
                          </a:rPr>
                          <m:t> − </m:t>
                        </m:r>
                        <m:r>
                          <a:rPr lang="cs-CZ" sz="1300" i="1">
                            <a:solidFill>
                              <a:srgbClr val="142A3B"/>
                            </a:solidFill>
                            <a:latin typeface="Cambria Math" panose="02040503050406030204" pitchFamily="18" charset="0"/>
                            <a:ea typeface="Cambria Math" panose="02040503050406030204" pitchFamily="18" charset="0"/>
                          </a:rPr>
                          <m:t>𝑚</m:t>
                        </m:r>
                      </m:num>
                      <m:den>
                        <m:r>
                          <a:rPr lang="cs-CZ" sz="1300" i="1">
                            <a:solidFill>
                              <a:srgbClr val="142A3B"/>
                            </a:solidFill>
                            <a:latin typeface="Cambria Math" panose="02040503050406030204" pitchFamily="18" charset="0"/>
                            <a:ea typeface="Cambria Math" panose="02040503050406030204" pitchFamily="18" charset="0"/>
                          </a:rPr>
                          <m:t>𝑠</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z_i = (x_i − m) / s"/>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z_i = (x_i − m) / s</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z = (x − μ) / σ">
              <a:extLst>
                <a:ext uri="{FF2B5EF4-FFF2-40B4-BE49-F238E27FC236}">
                  <a16:creationId xmlns:a16="http://schemas.microsoft.com/office/drawing/2014/main" id="{00000000-0008-0000-02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𝑧</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num>
                      <m:den>
                        <m:r>
                          <m:rPr>
                            <m:nor/>
                          </m:rPr>
                          <a:rPr lang="cs-CZ" sz="1300" i="0">
                            <a:solidFill>
                              <a:srgbClr val="142A3B"/>
                            </a:solidFill>
                            <a:latin typeface="Cambria Math" panose="02040503050406030204" pitchFamily="18" charset="0"/>
                            <a:ea typeface="Cambria Math" panose="02040503050406030204" pitchFamily="18" charset="0"/>
                          </a:rPr>
                          <m:t>σ</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z = (x − μ) / σ"/>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 = (x − μ) / σ</a:t>
              </a:r>
            </a:p>
          </xdr:txBody>
        </xdr:sp>
      </mc:Fallback>
    </mc:AlternateContent>
    <xdr:clientData/>
  </xdr:oneCellAnchor>
  <xdr:oneCellAnchor>
    <xdr:from>
      <xdr:col>0</xdr:col>
      <xdr:colOff>20000</xdr:colOff>
      <xdr:row>32</xdr:row>
      <xdr:rowOff>25000</xdr:rowOff>
    </xdr:from>
    <xdr:ext cx="3560000" cy="407200"/>
    <mc:AlternateContent xmlns:mc="http://schemas.openxmlformats.org/markup-compatibility/2006" xmlns:a14="http://schemas.microsoft.com/office/drawing/2010/main">
      <mc:Choice Requires="a14">
        <xdr:sp macro="" textlink="">
          <xdr:nvSpPr>
            <xdr:cNvPr id="3" name="Rovnice 2" descr="podíl nejvýše x = NORM.S.DIST(z; PRAVDA)">
              <a:extLst>
                <a:ext uri="{FF2B5EF4-FFF2-40B4-BE49-F238E27FC236}">
                  <a16:creationId xmlns:a16="http://schemas.microsoft.com/office/drawing/2014/main" id="{00000000-0008-0000-0200-000003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podíl nejvýše </m:t>
                    </m:r>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NORM.S.DIST(</m:t>
                    </m:r>
                    <m:r>
                      <a:rPr lang="cs-CZ" sz="1300" i="1">
                        <a:solidFill>
                          <a:srgbClr val="142A3B"/>
                        </a:solidFill>
                        <a:latin typeface="Cambria Math" panose="02040503050406030204" pitchFamily="18" charset="0"/>
                        <a:ea typeface="Cambria Math" panose="02040503050406030204" pitchFamily="18" charset="0"/>
                      </a:rPr>
                      <m:t>𝑧</m:t>
                    </m:r>
                    <m:r>
                      <m:rPr>
                        <m:nor/>
                      </m:rPr>
                      <a:rPr lang="cs-CZ" sz="1300" i="0">
                        <a:solidFill>
                          <a:srgbClr val="142A3B"/>
                        </a:solidFill>
                        <a:latin typeface="Cambria Math" panose="02040503050406030204" pitchFamily="18" charset="0"/>
                        <a:ea typeface="Cambria Math" panose="02040503050406030204" pitchFamily="18" charset="0"/>
                      </a:rPr>
                      <m:t>; PRAVDA)</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podíl nejvýše x = NORM.S.DIST(z; PRAVDA)"/>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podíl nejvýše x = NORM.S.DIST(z; PRAVDA)</a:t>
              </a:r>
            </a:p>
          </xdr:txBody>
        </xdr:sp>
      </mc:Fallback>
    </mc:AlternateContent>
    <xdr:clientData/>
  </xdr:oneCellAnchor>
  <xdr:oneCellAnchor>
    <xdr:from>
      <xdr:col>0</xdr:col>
      <xdr:colOff>20000</xdr:colOff>
      <xdr:row>37</xdr:row>
      <xdr:rowOff>25000</xdr:rowOff>
    </xdr:from>
    <xdr:ext cx="3560000" cy="635800"/>
    <mc:AlternateContent xmlns:mc="http://schemas.openxmlformats.org/markup-compatibility/2006" xmlns:a14="http://schemas.microsoft.com/office/drawing/2010/main">
      <mc:Choice Requires="a14">
        <xdr:sp macro="" textlink="">
          <xdr:nvSpPr>
            <xdr:cNvPr id="4" name="Rovnice 3" descr="podíl nad x = 1 − podíl nejvýše x; podíl mezi a a b = podíl nejvýše b − podíl nejvýše a">
              <a:extLst>
                <a:ext uri="{FF2B5EF4-FFF2-40B4-BE49-F238E27FC236}">
                  <a16:creationId xmlns:a16="http://schemas.microsoft.com/office/drawing/2014/main" id="{00000000-0008-0000-0200-000004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podíl nad </m:t>
                    </m:r>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1 − </m:t>
                    </m:r>
                    <m:r>
                      <m:rPr>
                        <m:nor/>
                      </m:rPr>
                      <a:rPr lang="cs-CZ" sz="1300" i="0">
                        <a:solidFill>
                          <a:srgbClr val="142A3B"/>
                        </a:solidFill>
                        <a:latin typeface="Cambria Math" panose="02040503050406030204" pitchFamily="18" charset="0"/>
                        <a:ea typeface="Cambria Math" panose="02040503050406030204" pitchFamily="18" charset="0"/>
                      </a:rPr>
                      <m:t>podíl nejvýše </m:t>
                    </m:r>
                    <m:r>
                      <a:rPr lang="cs-CZ" sz="1300" i="1">
                        <a:solidFill>
                          <a:srgbClr val="142A3B"/>
                        </a:solidFill>
                        <a:latin typeface="Cambria Math" panose="02040503050406030204" pitchFamily="18" charset="0"/>
                        <a:ea typeface="Cambria Math" panose="02040503050406030204" pitchFamily="18" charset="0"/>
                      </a:rPr>
                      <m:t>𝑥</m:t>
                    </m:r>
                  </m:oMath>
                </m:oMathPara>
              </a14:m>
              <a:endParaRPr lang="cs-CZ" sz="1300">
                <a:solidFill>
                  <a:srgbClr val="142A3B"/>
                </a:solidFill>
                <a:ea typeface="Cambria Math" panose="02040503050406030204" pitchFamily="18" charset="0"/>
              </a:endParaRPr>
            </a:p>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podíl mezi </m:t>
                    </m:r>
                    <m:r>
                      <a:rPr lang="cs-CZ" sz="1300" i="1">
                        <a:solidFill>
                          <a:srgbClr val="142A3B"/>
                        </a:solidFill>
                        <a:latin typeface="Cambria Math" panose="02040503050406030204" pitchFamily="18" charset="0"/>
                        <a:ea typeface="Cambria Math" panose="02040503050406030204" pitchFamily="18" charset="0"/>
                      </a:rPr>
                      <m:t>𝑎</m:t>
                    </m:r>
                    <m:r>
                      <m:rPr>
                        <m:nor/>
                      </m:rPr>
                      <a:rPr lang="cs-CZ" sz="1300" i="0">
                        <a:solidFill>
                          <a:srgbClr val="142A3B"/>
                        </a:solidFill>
                        <a:latin typeface="Cambria Math" panose="02040503050406030204" pitchFamily="18" charset="0"/>
                        <a:ea typeface="Cambria Math" panose="02040503050406030204" pitchFamily="18" charset="0"/>
                      </a:rPr>
                      <m:t> a </m:t>
                    </m:r>
                    <m:r>
                      <a:rPr lang="cs-CZ" sz="1300" i="1">
                        <a:solidFill>
                          <a:srgbClr val="142A3B"/>
                        </a:solidFill>
                        <a:latin typeface="Cambria Math" panose="02040503050406030204" pitchFamily="18" charset="0"/>
                        <a:ea typeface="Cambria Math" panose="02040503050406030204" pitchFamily="18" charset="0"/>
                      </a:rPr>
                      <m:t>𝑏</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podíl nejvýše </m:t>
                    </m:r>
                    <m:r>
                      <a:rPr lang="cs-CZ" sz="1300" i="1">
                        <a:solidFill>
                          <a:srgbClr val="142A3B"/>
                        </a:solidFill>
                        <a:latin typeface="Cambria Math" panose="02040503050406030204" pitchFamily="18" charset="0"/>
                        <a:ea typeface="Cambria Math" panose="02040503050406030204" pitchFamily="18" charset="0"/>
                      </a:rPr>
                      <m:t>𝑏</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podíl nejvýše </m:t>
                    </m:r>
                    <m:r>
                      <a:rPr lang="cs-CZ" sz="1300" i="1">
                        <a:solidFill>
                          <a:srgbClr val="142A3B"/>
                        </a:solidFill>
                        <a:latin typeface="Cambria Math" panose="02040503050406030204" pitchFamily="18" charset="0"/>
                        <a:ea typeface="Cambria Math" panose="02040503050406030204" pitchFamily="18" charset="0"/>
                      </a:rPr>
                      <m:t>𝑎</m:t>
                    </m:r>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podíl nad x = 1 − podíl nejvýše x; podíl mezi a a b = podíl nejvýše b − podíl nejvýše a"/>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podíl nad x = 1 − podíl nejvýše x; podíl mezi a a b = podíl nejvýše b − podíl nejvýše a</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podíl vlevo od dolní meze = (1 − P) / 2">
              <a:extLst>
                <a:ext uri="{FF2B5EF4-FFF2-40B4-BE49-F238E27FC236}">
                  <a16:creationId xmlns:a16="http://schemas.microsoft.com/office/drawing/2014/main" id="{00000000-0008-0000-03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podíl vlevo od dolní meze</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1 − </m:t>
                        </m:r>
                        <m:r>
                          <a:rPr lang="cs-CZ" sz="1300" i="1">
                            <a:solidFill>
                              <a:srgbClr val="142A3B"/>
                            </a:solidFill>
                            <a:latin typeface="Cambria Math" panose="02040503050406030204" pitchFamily="18" charset="0"/>
                            <a:ea typeface="Cambria Math" panose="02040503050406030204" pitchFamily="18" charset="0"/>
                          </a:rPr>
                          <m:t>𝑃</m:t>
                        </m:r>
                      </m:num>
                      <m:den>
                        <m:r>
                          <a:rPr lang="cs-CZ" sz="1300" i="1">
                            <a:solidFill>
                              <a:srgbClr val="142A3B"/>
                            </a:solidFill>
                            <a:latin typeface="Cambria Math" panose="02040503050406030204" pitchFamily="18" charset="0"/>
                            <a:ea typeface="Cambria Math" panose="02040503050406030204" pitchFamily="18" charset="0"/>
                          </a:rPr>
                          <m:t>2</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podíl vlevo od dolní meze = (1 − P) / 2"/>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podíl vlevo od dolní meze = (1 − P) / 2</a:t>
              </a:r>
            </a:p>
          </xdr:txBody>
        </xdr:sp>
      </mc:Fallback>
    </mc:AlternateContent>
    <xdr:clientData/>
  </xdr:oneCellAnchor>
  <xdr:oneCellAnchor>
    <xdr:from>
      <xdr:col>0</xdr:col>
      <xdr:colOff>20000</xdr:colOff>
      <xdr:row>32</xdr:row>
      <xdr:rowOff>25000</xdr:rowOff>
    </xdr:from>
    <xdr:ext cx="3560000" cy="407200"/>
    <mc:AlternateContent xmlns:mc="http://schemas.openxmlformats.org/markup-compatibility/2006" xmlns:a14="http://schemas.microsoft.com/office/drawing/2010/main">
      <mc:Choice Requires="a14">
        <xdr:sp macro="" textlink="">
          <xdr:nvSpPr>
            <xdr:cNvPr id="3" name="Rovnice 2" descr="z_p = NORM.S.INV(p)">
              <a:extLst>
                <a:ext uri="{FF2B5EF4-FFF2-40B4-BE49-F238E27FC236}">
                  <a16:creationId xmlns:a16="http://schemas.microsoft.com/office/drawing/2014/main" id="{00000000-0008-0000-0300-000003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𝑧</m:t>
                        </m:r>
                      </m:e>
                      <m:sub>
                        <m:r>
                          <a:rPr lang="cs-CZ" sz="1300" i="1">
                            <a:solidFill>
                              <a:srgbClr val="142A3B"/>
                            </a:solidFill>
                            <a:latin typeface="Cambria Math" panose="02040503050406030204" pitchFamily="18" charset="0"/>
                            <a:ea typeface="Cambria Math" panose="02040503050406030204" pitchFamily="18" charset="0"/>
                          </a:rPr>
                          <m:t>𝑝</m:t>
                        </m:r>
                      </m:sub>
                    </m:sSub>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NORM.S.INV(</m:t>
                    </m:r>
                    <m:r>
                      <a:rPr lang="cs-CZ" sz="1300" i="1">
                        <a:solidFill>
                          <a:srgbClr val="142A3B"/>
                        </a:solidFill>
                        <a:latin typeface="Cambria Math" panose="02040503050406030204" pitchFamily="18" charset="0"/>
                        <a:ea typeface="Cambria Math" panose="02040503050406030204" pitchFamily="18" charset="0"/>
                      </a:rPr>
                      <m:t>𝑝</m:t>
                    </m:r>
                    <m:r>
                      <m:rPr>
                        <m:nor/>
                      </m:rPr>
                      <a:rPr lang="cs-CZ" sz="1300" i="0">
                        <a:solidFill>
                          <a:srgbClr val="142A3B"/>
                        </a:solidFill>
                        <a:latin typeface="Cambria Math" panose="02040503050406030204" pitchFamily="18" charset="0"/>
                        <a:ea typeface="Cambria Math" panose="02040503050406030204" pitchFamily="18" charset="0"/>
                      </a:rPr>
                      <m:t>)</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z_p = NORM.S.INV(p)"/>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z_p = NORM.S.INV(p)</a:t>
              </a:r>
            </a:p>
          </xdr:txBody>
        </xdr:sp>
      </mc:Fallback>
    </mc:AlternateContent>
    <xdr:clientData/>
  </xdr:oneCellAnchor>
  <xdr:oneCellAnchor>
    <xdr:from>
      <xdr:col>0</xdr:col>
      <xdr:colOff>20000</xdr:colOff>
      <xdr:row>37</xdr:row>
      <xdr:rowOff>25000</xdr:rowOff>
    </xdr:from>
    <xdr:ext cx="3560000" cy="407200"/>
    <mc:AlternateContent xmlns:mc="http://schemas.openxmlformats.org/markup-compatibility/2006" xmlns:a14="http://schemas.microsoft.com/office/drawing/2010/main">
      <mc:Choice Requires="a14">
        <xdr:sp macro="" textlink="">
          <xdr:nvSpPr>
            <xdr:cNvPr id="4" name="Rovnice 3" descr="x = μ + σz">
              <a:extLst>
                <a:ext uri="{FF2B5EF4-FFF2-40B4-BE49-F238E27FC236}">
                  <a16:creationId xmlns:a16="http://schemas.microsoft.com/office/drawing/2014/main" id="{00000000-0008-0000-0300-000004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σ</m:t>
                    </m:r>
                    <m:r>
                      <a:rPr lang="cs-CZ" sz="1300" i="1">
                        <a:solidFill>
                          <a:srgbClr val="142A3B"/>
                        </a:solidFill>
                        <a:latin typeface="Cambria Math" panose="02040503050406030204" pitchFamily="18" charset="0"/>
                        <a:ea typeface="Cambria Math" panose="02040503050406030204" pitchFamily="18" charset="0"/>
                      </a:rPr>
                      <m:t>𝑧</m:t>
                    </m:r>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x = μ + σz"/>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x = μ + σz</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z = (x − μ) / σ">
              <a:extLst>
                <a:ext uri="{FF2B5EF4-FFF2-40B4-BE49-F238E27FC236}">
                  <a16:creationId xmlns:a16="http://schemas.microsoft.com/office/drawing/2014/main" id="{00000000-0008-0000-04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𝑧</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num>
                      <m:den>
                        <m:r>
                          <m:rPr>
                            <m:nor/>
                          </m:rPr>
                          <a:rPr lang="cs-CZ" sz="1300" i="0">
                            <a:solidFill>
                              <a:srgbClr val="142A3B"/>
                            </a:solidFill>
                            <a:latin typeface="Cambria Math" panose="02040503050406030204" pitchFamily="18" charset="0"/>
                            <a:ea typeface="Cambria Math" panose="02040503050406030204" pitchFamily="18" charset="0"/>
                          </a:rPr>
                          <m:t>σ</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z = (x − μ) / σ"/>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 = (x − μ) / σ</a:t>
              </a:r>
            </a:p>
          </xdr:txBody>
        </xdr:sp>
      </mc:Fallback>
    </mc:AlternateContent>
    <xdr:clientData/>
  </xdr:oneCellAnchor>
  <xdr:oneCellAnchor>
    <xdr:from>
      <xdr:col>0</xdr:col>
      <xdr:colOff>20000</xdr:colOff>
      <xdr:row>33</xdr:row>
      <xdr:rowOff>25000</xdr:rowOff>
    </xdr:from>
    <xdr:ext cx="3560000" cy="407200"/>
    <mc:AlternateContent xmlns:mc="http://schemas.openxmlformats.org/markup-compatibility/2006" xmlns:a14="http://schemas.microsoft.com/office/drawing/2010/main">
      <mc:Choice Requires="a14">
        <xdr:sp macro="" textlink="">
          <xdr:nvSpPr>
            <xdr:cNvPr id="3" name="Rovnice 2" descr="podíl nejvýše x = NORM.S.DIST(z; PRAVDA)">
              <a:extLst>
                <a:ext uri="{FF2B5EF4-FFF2-40B4-BE49-F238E27FC236}">
                  <a16:creationId xmlns:a16="http://schemas.microsoft.com/office/drawing/2014/main" id="{00000000-0008-0000-0400-000003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podíl nejvýše </m:t>
                    </m:r>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NORM.S.DIST(</m:t>
                    </m:r>
                    <m:r>
                      <a:rPr lang="cs-CZ" sz="1300" i="1">
                        <a:solidFill>
                          <a:srgbClr val="142A3B"/>
                        </a:solidFill>
                        <a:latin typeface="Cambria Math" panose="02040503050406030204" pitchFamily="18" charset="0"/>
                        <a:ea typeface="Cambria Math" panose="02040503050406030204" pitchFamily="18" charset="0"/>
                      </a:rPr>
                      <m:t>𝑧</m:t>
                    </m:r>
                    <m:r>
                      <m:rPr>
                        <m:nor/>
                      </m:rPr>
                      <a:rPr lang="cs-CZ" sz="1300" i="0">
                        <a:solidFill>
                          <a:srgbClr val="142A3B"/>
                        </a:solidFill>
                        <a:latin typeface="Cambria Math" panose="02040503050406030204" pitchFamily="18" charset="0"/>
                        <a:ea typeface="Cambria Math" panose="02040503050406030204" pitchFamily="18" charset="0"/>
                      </a:rPr>
                      <m:t>; PRAVDA)</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podíl nejvýše x = NORM.S.DIST(z; PRAVDA)"/>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podíl nejvýše x = NORM.S.DIST(z; PRAVDA)</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407200"/>
    <mc:AlternateContent xmlns:mc="http://schemas.openxmlformats.org/markup-compatibility/2006" xmlns:a14="http://schemas.microsoft.com/office/drawing/2010/main">
      <mc:Choice Requires="a14">
        <xdr:sp macro="" textlink="">
          <xdr:nvSpPr>
            <xdr:cNvPr id="2" name="Rovnice 1" descr="z_p = NORM.S.INV(p)">
              <a:extLst>
                <a:ext uri="{FF2B5EF4-FFF2-40B4-BE49-F238E27FC236}">
                  <a16:creationId xmlns:a16="http://schemas.microsoft.com/office/drawing/2014/main" id="{00000000-0008-0000-0500-000002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𝑧</m:t>
                        </m:r>
                      </m:e>
                      <m:sub>
                        <m:r>
                          <a:rPr lang="cs-CZ" sz="1300" i="1">
                            <a:solidFill>
                              <a:srgbClr val="142A3B"/>
                            </a:solidFill>
                            <a:latin typeface="Cambria Math" panose="02040503050406030204" pitchFamily="18" charset="0"/>
                            <a:ea typeface="Cambria Math" panose="02040503050406030204" pitchFamily="18" charset="0"/>
                          </a:rPr>
                          <m:t>𝑝</m:t>
                        </m:r>
                      </m:sub>
                    </m:sSub>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NORM.S.INV(</m:t>
                    </m:r>
                    <m:r>
                      <a:rPr lang="cs-CZ" sz="1300" i="1">
                        <a:solidFill>
                          <a:srgbClr val="142A3B"/>
                        </a:solidFill>
                        <a:latin typeface="Cambria Math" panose="02040503050406030204" pitchFamily="18" charset="0"/>
                        <a:ea typeface="Cambria Math" panose="02040503050406030204" pitchFamily="18" charset="0"/>
                      </a:rPr>
                      <m:t>𝑝</m:t>
                    </m:r>
                    <m:r>
                      <m:rPr>
                        <m:nor/>
                      </m:rPr>
                      <a:rPr lang="cs-CZ" sz="1300" i="0">
                        <a:solidFill>
                          <a:srgbClr val="142A3B"/>
                        </a:solidFill>
                        <a:latin typeface="Cambria Math" panose="02040503050406030204" pitchFamily="18" charset="0"/>
                        <a:ea typeface="Cambria Math" panose="02040503050406030204" pitchFamily="18" charset="0"/>
                      </a:rPr>
                      <m:t>)</m:t>
                    </m:r>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z_p = NORM.S.INV(p)"/>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z_p = NORM.S.INV(p)</a:t>
              </a:r>
            </a:p>
          </xdr:txBody>
        </xdr:sp>
      </mc:Fallback>
    </mc:AlternateContent>
    <xdr:clientData/>
  </xdr:oneCellAnchor>
  <xdr:oneCellAnchor>
    <xdr:from>
      <xdr:col>0</xdr:col>
      <xdr:colOff>20000</xdr:colOff>
      <xdr:row>30</xdr:row>
      <xdr:rowOff>25000</xdr:rowOff>
    </xdr:from>
    <xdr:ext cx="3560000" cy="407200"/>
    <mc:AlternateContent xmlns:mc="http://schemas.openxmlformats.org/markup-compatibility/2006" xmlns:a14="http://schemas.microsoft.com/office/drawing/2010/main">
      <mc:Choice Requires="a14">
        <xdr:sp macro="" textlink="">
          <xdr:nvSpPr>
            <xdr:cNvPr id="3" name="Rovnice 2" descr="x = μ + σz">
              <a:extLst>
                <a:ext uri="{FF2B5EF4-FFF2-40B4-BE49-F238E27FC236}">
                  <a16:creationId xmlns:a16="http://schemas.microsoft.com/office/drawing/2014/main" id="{00000000-0008-0000-0500-000003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σ</m:t>
                    </m:r>
                    <m:r>
                      <a:rPr lang="cs-CZ" sz="1300" i="1">
                        <a:solidFill>
                          <a:srgbClr val="142A3B"/>
                        </a:solidFill>
                        <a:latin typeface="Cambria Math" panose="02040503050406030204" pitchFamily="18" charset="0"/>
                        <a:ea typeface="Cambria Math" panose="02040503050406030204" pitchFamily="18" charset="0"/>
                      </a:rPr>
                      <m:t>𝑧</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x = μ + σz"/>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x = μ + σz</a:t>
              </a:r>
            </a:p>
          </xdr:txBody>
        </xdr:sp>
      </mc:Fallback>
    </mc:AlternateContent>
    <xdr:clientData/>
  </xdr:oneCellAnchor>
  <xdr:oneCellAnchor>
    <xdr:from>
      <xdr:col>0</xdr:col>
      <xdr:colOff>20000</xdr:colOff>
      <xdr:row>36</xdr:row>
      <xdr:rowOff>25000</xdr:rowOff>
    </xdr:from>
    <xdr:ext cx="3560000" cy="635800"/>
    <mc:AlternateContent xmlns:mc="http://schemas.openxmlformats.org/markup-compatibility/2006" xmlns:a14="http://schemas.microsoft.com/office/drawing/2010/main">
      <mc:Choice Requires="a14">
        <xdr:sp macro="" textlink="">
          <xdr:nvSpPr>
            <xdr:cNvPr id="4" name="Rovnice 3" descr="z = (x − μ) / σ">
              <a:extLst>
                <a:ext uri="{FF2B5EF4-FFF2-40B4-BE49-F238E27FC236}">
                  <a16:creationId xmlns:a16="http://schemas.microsoft.com/office/drawing/2014/main" id="{00000000-0008-0000-0500-000004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𝑧</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num>
                      <m:den>
                        <m:r>
                          <m:rPr>
                            <m:nor/>
                          </m:rPr>
                          <a:rPr lang="cs-CZ" sz="1300" i="0">
                            <a:solidFill>
                              <a:srgbClr val="142A3B"/>
                            </a:solidFill>
                            <a:latin typeface="Cambria Math" panose="02040503050406030204" pitchFamily="18" charset="0"/>
                            <a:ea typeface="Cambria Math" panose="02040503050406030204" pitchFamily="18" charset="0"/>
                          </a:rPr>
                          <m:t>σ</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z = (x − μ) / σ"/>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 = (x − μ) / σ</a:t>
              </a:r>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z = (x − μ) / σ">
              <a:extLst>
                <a:ext uri="{FF2B5EF4-FFF2-40B4-BE49-F238E27FC236}">
                  <a16:creationId xmlns:a16="http://schemas.microsoft.com/office/drawing/2014/main" id="{00000000-0008-0000-06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𝑧</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𝑥</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num>
                      <m:den>
                        <m:r>
                          <m:rPr>
                            <m:nor/>
                          </m:rPr>
                          <a:rPr lang="cs-CZ" sz="1300" i="0">
                            <a:solidFill>
                              <a:srgbClr val="142A3B"/>
                            </a:solidFill>
                            <a:latin typeface="Cambria Math" panose="02040503050406030204" pitchFamily="18" charset="0"/>
                            <a:ea typeface="Cambria Math" panose="02040503050406030204" pitchFamily="18" charset="0"/>
                          </a:rPr>
                          <m:t>σ</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z = (x − μ) / σ"/>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 = (x − μ) / σ</a:t>
              </a:r>
            </a:p>
          </xdr:txBody>
        </xdr:sp>
      </mc:Fallback>
    </mc:AlternateContent>
    <xdr:clientData/>
  </xdr:oneCellAnchor>
  <xdr:oneCellAnchor>
    <xdr:from>
      <xdr:col>0</xdr:col>
      <xdr:colOff>20000</xdr:colOff>
      <xdr:row>32</xdr:row>
      <xdr:rowOff>25000</xdr:rowOff>
    </xdr:from>
    <xdr:ext cx="3560000" cy="407200"/>
    <mc:AlternateContent xmlns:mc="http://schemas.openxmlformats.org/markup-compatibility/2006" xmlns:a14="http://schemas.microsoft.com/office/drawing/2010/main">
      <mc:Choice Requires="a14">
        <xdr:sp macro="" textlink="">
          <xdr:nvSpPr>
            <xdr:cNvPr id="3" name="Rovnice 2" descr="percentilové pořadí = 100 × NORM.S.DIST(z; PRAVDA)">
              <a:extLst>
                <a:ext uri="{FF2B5EF4-FFF2-40B4-BE49-F238E27FC236}">
                  <a16:creationId xmlns:a16="http://schemas.microsoft.com/office/drawing/2014/main" id="{00000000-0008-0000-0600-000003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percentilové pořadí</m:t>
                    </m:r>
                    <m:r>
                      <a:rPr lang="cs-CZ" sz="1300" i="1">
                        <a:solidFill>
                          <a:srgbClr val="142A3B"/>
                        </a:solidFill>
                        <a:latin typeface="Cambria Math" panose="02040503050406030204" pitchFamily="18" charset="0"/>
                        <a:ea typeface="Cambria Math" panose="02040503050406030204" pitchFamily="18" charset="0"/>
                      </a:rPr>
                      <m:t> = 100 × </m:t>
                    </m:r>
                    <m:r>
                      <m:rPr>
                        <m:nor/>
                      </m:rPr>
                      <a:rPr lang="cs-CZ" sz="1300" i="0">
                        <a:solidFill>
                          <a:srgbClr val="142A3B"/>
                        </a:solidFill>
                        <a:latin typeface="Cambria Math" panose="02040503050406030204" pitchFamily="18" charset="0"/>
                        <a:ea typeface="Cambria Math" panose="02040503050406030204" pitchFamily="18" charset="0"/>
                      </a:rPr>
                      <m:t>NORM.S.DIST(</m:t>
                    </m:r>
                    <m:r>
                      <a:rPr lang="cs-CZ" sz="1300" i="1">
                        <a:solidFill>
                          <a:srgbClr val="142A3B"/>
                        </a:solidFill>
                        <a:latin typeface="Cambria Math" panose="02040503050406030204" pitchFamily="18" charset="0"/>
                        <a:ea typeface="Cambria Math" panose="02040503050406030204" pitchFamily="18" charset="0"/>
                      </a:rPr>
                      <m:t>𝑧</m:t>
                    </m:r>
                    <m:r>
                      <m:rPr>
                        <m:nor/>
                      </m:rPr>
                      <a:rPr lang="cs-CZ" sz="1300" i="0">
                        <a:solidFill>
                          <a:srgbClr val="142A3B"/>
                        </a:solidFill>
                        <a:latin typeface="Cambria Math" panose="02040503050406030204" pitchFamily="18" charset="0"/>
                        <a:ea typeface="Cambria Math" panose="02040503050406030204" pitchFamily="18" charset="0"/>
                      </a:rPr>
                      <m:t>; PRAVDA)</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percentilové pořadí = 100 × NORM.S.DIST(z; PRAVDA)"/>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percentilové pořadí = 100 × NORM.S.DIST(z; PRAVDA)</a:t>
              </a:r>
            </a:p>
          </xdr:txBody>
        </xdr:sp>
      </mc:Fallback>
    </mc:AlternateContent>
    <xdr:clientData/>
  </xdr:oneCellAnchor>
  <xdr:oneCellAnchor>
    <xdr:from>
      <xdr:col>0</xdr:col>
      <xdr:colOff>20000</xdr:colOff>
      <xdr:row>37</xdr:row>
      <xdr:rowOff>25000</xdr:rowOff>
    </xdr:from>
    <xdr:ext cx="3560000" cy="407200"/>
    <mc:AlternateContent xmlns:mc="http://schemas.openxmlformats.org/markup-compatibility/2006" xmlns:a14="http://schemas.microsoft.com/office/drawing/2010/main">
      <mc:Choice Requires="a14">
        <xdr:sp macro="" textlink="">
          <xdr:nvSpPr>
            <xdr:cNvPr id="4" name="Rovnice 3" descr="x_0,75 = μ + σ z_0,75">
              <a:extLst>
                <a:ext uri="{FF2B5EF4-FFF2-40B4-BE49-F238E27FC236}">
                  <a16:creationId xmlns:a16="http://schemas.microsoft.com/office/drawing/2014/main" id="{00000000-0008-0000-0600-000004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𝑥</m:t>
                        </m:r>
                      </m:e>
                      <m:sub>
                        <m:r>
                          <a:rPr lang="cs-CZ" sz="1300" i="1">
                            <a:solidFill>
                              <a:srgbClr val="142A3B"/>
                            </a:solidFill>
                            <a:latin typeface="Cambria Math" panose="02040503050406030204" pitchFamily="18" charset="0"/>
                            <a:ea typeface="Cambria Math" panose="02040503050406030204" pitchFamily="18" charset="0"/>
                          </a:rPr>
                          <m:t>0,75</m:t>
                        </m:r>
                      </m:sub>
                    </m:sSub>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μ</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σ</m:t>
                    </m:r>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𝑧</m:t>
                        </m:r>
                      </m:e>
                      <m:sub>
                        <m:r>
                          <a:rPr lang="cs-CZ" sz="1300" i="1">
                            <a:solidFill>
                              <a:srgbClr val="142A3B"/>
                            </a:solidFill>
                            <a:latin typeface="Cambria Math" panose="02040503050406030204" pitchFamily="18" charset="0"/>
                            <a:ea typeface="Cambria Math" panose="02040503050406030204" pitchFamily="18" charset="0"/>
                          </a:rPr>
                          <m:t>0,75</m:t>
                        </m:r>
                      </m:sub>
                    </m:sSub>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x_0,75 = μ + σ z_0,75"/>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x_0,75 = μ + σ z_0,75</a:t>
              </a:r>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2" name="Rovnice 1" descr="z = (T − 50) / 10">
              <a:extLst>
                <a:ext uri="{FF2B5EF4-FFF2-40B4-BE49-F238E27FC236}">
                  <a16:creationId xmlns:a16="http://schemas.microsoft.com/office/drawing/2014/main" id="{00000000-0008-0000-0700-000002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𝑧</m:t>
                    </m:r>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𝑇</m:t>
                        </m:r>
                        <m:r>
                          <a:rPr lang="cs-CZ" sz="1300" i="1">
                            <a:solidFill>
                              <a:srgbClr val="142A3B"/>
                            </a:solidFill>
                            <a:latin typeface="Cambria Math" panose="02040503050406030204" pitchFamily="18" charset="0"/>
                            <a:ea typeface="Cambria Math" panose="02040503050406030204" pitchFamily="18" charset="0"/>
                          </a:rPr>
                          <m:t> − 50</m:t>
                        </m:r>
                      </m:num>
                      <m:den>
                        <m:r>
                          <a:rPr lang="cs-CZ" sz="1300" i="1">
                            <a:solidFill>
                              <a:srgbClr val="142A3B"/>
                            </a:solidFill>
                            <a:latin typeface="Cambria Math" panose="02040503050406030204" pitchFamily="18" charset="0"/>
                            <a:ea typeface="Cambria Math" panose="02040503050406030204" pitchFamily="18" charset="0"/>
                          </a:rPr>
                          <m:t>10</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2" name="Rovnice 1" descr="z = (T − 50) / 10"/>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z = (T − 50) / 10</a:t>
              </a:r>
            </a:p>
          </xdr:txBody>
        </xdr:sp>
      </mc:Fallback>
    </mc:AlternateContent>
    <xdr:clientData/>
  </xdr:oneCellAnchor>
  <xdr:oneCellAnchor>
    <xdr:from>
      <xdr:col>0</xdr:col>
      <xdr:colOff>20000</xdr:colOff>
      <xdr:row>31</xdr:row>
      <xdr:rowOff>25000</xdr:rowOff>
    </xdr:from>
    <xdr:ext cx="3560000" cy="635800"/>
    <mc:AlternateContent xmlns:mc="http://schemas.openxmlformats.org/markup-compatibility/2006" xmlns:a14="http://schemas.microsoft.com/office/drawing/2010/main">
      <mc:Choice Requires="a14">
        <xdr:sp macro="" textlink="">
          <xdr:nvSpPr>
            <xdr:cNvPr id="3" name="Rovnice 2" descr="nový skór = nový průměr + nová směrodatná odchylka × z">
              <a:extLst>
                <a:ext uri="{FF2B5EF4-FFF2-40B4-BE49-F238E27FC236}">
                  <a16:creationId xmlns:a16="http://schemas.microsoft.com/office/drawing/2014/main" id="{00000000-0008-0000-0700-000003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nový skór</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nový průměr</m:t>
                    </m:r>
                  </m:oMath>
                </m:oMathPara>
              </a14:m>
              <a:endParaRPr lang="cs-CZ" sz="1300">
                <a:solidFill>
                  <a:srgbClr val="142A3B"/>
                </a:solidFill>
                <a:ea typeface="Cambria Math" panose="02040503050406030204" pitchFamily="18" charset="0"/>
              </a:endParaRPr>
            </a:p>
            <a:p>
              <a:pPr algn="l"/>
              <a14:m>
                <m:oMathPara xmlns:m="http://schemas.openxmlformats.org/officeDocument/2006/math">
                  <m:oMathParaPr>
                    <m:jc m:val="left"/>
                  </m:oMathParaPr>
                  <m:oMath>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nová směrodatná odchylka</m:t>
                    </m:r>
                    <m:r>
                      <a:rPr lang="cs-CZ" sz="1300" i="1">
                        <a:solidFill>
                          <a:srgbClr val="142A3B"/>
                        </a:solidFill>
                        <a:latin typeface="Cambria Math" panose="02040503050406030204" pitchFamily="18" charset="0"/>
                        <a:ea typeface="Cambria Math" panose="02040503050406030204" pitchFamily="18" charset="0"/>
                      </a:rPr>
                      <m:t> × </m:t>
                    </m:r>
                    <m:r>
                      <a:rPr lang="cs-CZ" sz="1300" i="1">
                        <a:solidFill>
                          <a:srgbClr val="142A3B"/>
                        </a:solidFill>
                        <a:latin typeface="Cambria Math" panose="02040503050406030204" pitchFamily="18" charset="0"/>
                        <a:ea typeface="Cambria Math" panose="02040503050406030204" pitchFamily="18" charset="0"/>
                      </a:rPr>
                      <m:t>𝑧</m:t>
                    </m:r>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nový skór = nový průměr + nová směrodatná odchylka × z"/>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nový skór = nový průměr + nová směrodatná odchylka × z</a:t>
              </a:r>
            </a:p>
          </xdr:txBody>
        </xdr:sp>
      </mc:Fallback>
    </mc:AlternateContent>
    <xdr:clientData/>
  </xdr:oneCellAnchor>
  <xdr:oneCellAnchor>
    <xdr:from>
      <xdr:col>0</xdr:col>
      <xdr:colOff>20000</xdr:colOff>
      <xdr:row>37</xdr:row>
      <xdr:rowOff>25000</xdr:rowOff>
    </xdr:from>
    <xdr:ext cx="3560000" cy="635800"/>
    <mc:AlternateContent xmlns:mc="http://schemas.openxmlformats.org/markup-compatibility/2006" xmlns:a14="http://schemas.microsoft.com/office/drawing/2010/main">
      <mc:Choice Requires="a14">
        <xdr:sp macro="" textlink="">
          <xdr:nvSpPr>
            <xdr:cNvPr id="4" name="Rovnice 3" descr="pomocná hodnota stenu = 5,5 + 2z; staninu = 5 + 2z">
              <a:extLst>
                <a:ext uri="{FF2B5EF4-FFF2-40B4-BE49-F238E27FC236}">
                  <a16:creationId xmlns:a16="http://schemas.microsoft.com/office/drawing/2014/main" id="{00000000-0008-0000-0700-000004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pomocná hodnota stenu</m:t>
                    </m:r>
                    <m:r>
                      <a:rPr lang="cs-CZ" sz="1300" i="1">
                        <a:solidFill>
                          <a:srgbClr val="142A3B"/>
                        </a:solidFill>
                        <a:latin typeface="Cambria Math" panose="02040503050406030204" pitchFamily="18" charset="0"/>
                        <a:ea typeface="Cambria Math" panose="02040503050406030204" pitchFamily="18" charset="0"/>
                      </a:rPr>
                      <m:t> = 5,5 + 2</m:t>
                    </m:r>
                    <m:r>
                      <a:rPr lang="cs-CZ" sz="1300" i="1">
                        <a:solidFill>
                          <a:srgbClr val="142A3B"/>
                        </a:solidFill>
                        <a:latin typeface="Cambria Math" panose="02040503050406030204" pitchFamily="18" charset="0"/>
                        <a:ea typeface="Cambria Math" panose="02040503050406030204" pitchFamily="18" charset="0"/>
                      </a:rPr>
                      <m:t>𝑧</m:t>
                    </m:r>
                  </m:oMath>
                </m:oMathPara>
              </a14:m>
              <a:endParaRPr lang="cs-CZ" sz="1300">
                <a:solidFill>
                  <a:srgbClr val="142A3B"/>
                </a:solidFill>
                <a:ea typeface="Cambria Math" panose="02040503050406030204" pitchFamily="18" charset="0"/>
              </a:endParaRPr>
            </a:p>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pomocná hodnota staninu</m:t>
                    </m:r>
                    <m:r>
                      <a:rPr lang="cs-CZ" sz="1300" i="1">
                        <a:solidFill>
                          <a:srgbClr val="142A3B"/>
                        </a:solidFill>
                        <a:latin typeface="Cambria Math" panose="02040503050406030204" pitchFamily="18" charset="0"/>
                        <a:ea typeface="Cambria Math" panose="02040503050406030204" pitchFamily="18" charset="0"/>
                      </a:rPr>
                      <m:t> = 5 + 2</m:t>
                    </m:r>
                    <m:r>
                      <a:rPr lang="cs-CZ" sz="1300" i="1">
                        <a:solidFill>
                          <a:srgbClr val="142A3B"/>
                        </a:solidFill>
                        <a:latin typeface="Cambria Math" panose="02040503050406030204" pitchFamily="18" charset="0"/>
                        <a:ea typeface="Cambria Math" panose="02040503050406030204" pitchFamily="18" charset="0"/>
                      </a:rPr>
                      <m:t>𝑧</m:t>
                    </m:r>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pomocná hodnota stenu = 5,5 + 2z; staninu = 5 + 2z"/>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pomocná hodnota stenu = 5,5 + 2z; staninu = 5 + 2z</a:t>
              </a:r>
            </a:p>
          </xdr:txBody>
        </xdr:sp>
      </mc:Fallback>
    </mc:AlternateContent>
    <xdr:clientData/>
  </xdr:oneCellAnchor>
  <xdr:oneCellAnchor>
    <xdr:from>
      <xdr:col>0</xdr:col>
      <xdr:colOff>20000</xdr:colOff>
      <xdr:row>43</xdr:row>
      <xdr:rowOff>25000</xdr:rowOff>
    </xdr:from>
    <xdr:ext cx="3560000" cy="407200"/>
    <mc:AlternateContent xmlns:mc="http://schemas.openxmlformats.org/markup-compatibility/2006" xmlns:a14="http://schemas.microsoft.com/office/drawing/2010/main">
      <mc:Choice Requires="a14">
        <xdr:sp macro="" textlink="">
          <xdr:nvSpPr>
            <xdr:cNvPr id="5" name="Rovnice 4" descr="percentilové pořadí = 100 × NORM.S.DIST(z; PRAVDA)">
              <a:extLst>
                <a:ext uri="{FF2B5EF4-FFF2-40B4-BE49-F238E27FC236}">
                  <a16:creationId xmlns:a16="http://schemas.microsoft.com/office/drawing/2014/main" id="{00000000-0008-0000-0700-000005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percentilové pořadí</m:t>
                    </m:r>
                    <m:r>
                      <a:rPr lang="cs-CZ" sz="1300" i="1">
                        <a:solidFill>
                          <a:srgbClr val="142A3B"/>
                        </a:solidFill>
                        <a:latin typeface="Cambria Math" panose="02040503050406030204" pitchFamily="18" charset="0"/>
                        <a:ea typeface="Cambria Math" panose="02040503050406030204" pitchFamily="18" charset="0"/>
                      </a:rPr>
                      <m:t> = 100 × </m:t>
                    </m:r>
                    <m:r>
                      <m:rPr>
                        <m:nor/>
                      </m:rPr>
                      <a:rPr lang="cs-CZ" sz="1300" i="0">
                        <a:solidFill>
                          <a:srgbClr val="142A3B"/>
                        </a:solidFill>
                        <a:latin typeface="Cambria Math" panose="02040503050406030204" pitchFamily="18" charset="0"/>
                        <a:ea typeface="Cambria Math" panose="02040503050406030204" pitchFamily="18" charset="0"/>
                      </a:rPr>
                      <m:t>NORM.S.DIST(</m:t>
                    </m:r>
                    <m:r>
                      <a:rPr lang="cs-CZ" sz="1300" i="1">
                        <a:solidFill>
                          <a:srgbClr val="142A3B"/>
                        </a:solidFill>
                        <a:latin typeface="Cambria Math" panose="02040503050406030204" pitchFamily="18" charset="0"/>
                        <a:ea typeface="Cambria Math" panose="02040503050406030204" pitchFamily="18" charset="0"/>
                      </a:rPr>
                      <m:t>𝑧</m:t>
                    </m:r>
                    <m:r>
                      <m:rPr>
                        <m:nor/>
                      </m:rPr>
                      <a:rPr lang="cs-CZ" sz="1300" i="0">
                        <a:solidFill>
                          <a:srgbClr val="142A3B"/>
                        </a:solidFill>
                        <a:latin typeface="Cambria Math" panose="02040503050406030204" pitchFamily="18" charset="0"/>
                        <a:ea typeface="Cambria Math" panose="02040503050406030204" pitchFamily="18" charset="0"/>
                      </a:rPr>
                      <m:t>; PRAVDA)</m:t>
                    </m:r>
                  </m:oMath>
                </m:oMathPara>
              </a14:m>
              <a:endParaRPr lang="cs-CZ" sz="1300">
                <a:solidFill>
                  <a:srgbClr val="142A3B"/>
                </a:solidFill>
                <a:ea typeface="Cambria Math" panose="02040503050406030204" pitchFamily="18" charset="0"/>
              </a:endParaRPr>
            </a:p>
          </xdr:txBody>
        </xdr:sp>
      </mc:Choice>
      <mc:Fallback xmlns="">
        <xdr:sp macro="" textlink="">
          <xdr:nvSpPr>
            <xdr:cNvPr id="5" name="Rovnice 4" descr="percentilové pořadí = 100 × NORM.S.DIST(z; PRAVDA)"/>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percentilové pořadí = 100 × NORM.S.DIST(z; PRAVDA)</a:t>
              </a: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6</xdr:col>
      <xdr:colOff>0</xdr:colOff>
      <xdr:row>23</xdr:row>
      <xdr:rowOff>0</xdr:rowOff>
    </xdr:from>
    <xdr:to>
      <xdr:col>15</xdr:col>
      <xdr:colOff>0</xdr:colOff>
      <xdr:row>48</xdr:row>
      <xdr:rowOff>0</xdr:rowOff>
    </xdr:to>
    <xdr:graphicFrame macro="">
      <xdr:nvGraphicFramePr>
        <xdr:cNvPr id="2" name="Graf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20000</xdr:colOff>
      <xdr:row>25</xdr:row>
      <xdr:rowOff>25000</xdr:rowOff>
    </xdr:from>
    <xdr:ext cx="3560000" cy="635800"/>
    <mc:AlternateContent xmlns:mc="http://schemas.openxmlformats.org/markup-compatibility/2006" xmlns:a14="http://schemas.microsoft.com/office/drawing/2010/main">
      <mc:Choice Requires="a14">
        <xdr:sp macro="" textlink="">
          <xdr:nvSpPr>
            <xdr:cNvPr id="3" name="Rovnice 2" descr="p_i = (i − 0,5) / n">
              <a:extLst>
                <a:ext uri="{FF2B5EF4-FFF2-40B4-BE49-F238E27FC236}">
                  <a16:creationId xmlns:a16="http://schemas.microsoft.com/office/drawing/2014/main" id="{00000000-0008-0000-0800-000003000000}"/>
                </a:ext>
              </a:extLst>
            </xdr:cNvPr>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𝑝</m:t>
                        </m:r>
                      </m:e>
                      <m:sub>
                        <m:r>
                          <a:rPr lang="cs-CZ" sz="1300" i="1">
                            <a:solidFill>
                              <a:srgbClr val="142A3B"/>
                            </a:solidFill>
                            <a:latin typeface="Cambria Math" panose="02040503050406030204" pitchFamily="18" charset="0"/>
                            <a:ea typeface="Cambria Math" panose="02040503050406030204" pitchFamily="18" charset="0"/>
                          </a:rPr>
                          <m:t>𝑖</m:t>
                        </m:r>
                      </m:sub>
                    </m:sSub>
                    <m:r>
                      <a:rPr lang="cs-CZ" sz="1300" i="1">
                        <a:solidFill>
                          <a:srgbClr val="142A3B"/>
                        </a:solidFill>
                        <a:latin typeface="Cambria Math" panose="02040503050406030204" pitchFamily="18" charset="0"/>
                        <a:ea typeface="Cambria Math" panose="02040503050406030204" pitchFamily="18" charset="0"/>
                      </a:rPr>
                      <m:t> = </m:t>
                    </m:r>
                    <m:f>
                      <m:fPr>
                        <m:ctrlPr>
                          <a:rPr lang="cs-CZ" sz="1300" i="1">
                            <a:solidFill>
                              <a:srgbClr val="142A3B"/>
                            </a:solidFill>
                            <a:latin typeface="Cambria Math" panose="02040503050406030204" pitchFamily="18" charset="0"/>
                            <a:ea typeface="Cambria Math" panose="02040503050406030204" pitchFamily="18" charset="0"/>
                          </a:rPr>
                        </m:ctrlPr>
                      </m:fPr>
                      <m:num>
                        <m:r>
                          <a:rPr lang="cs-CZ" sz="1300" i="1">
                            <a:solidFill>
                              <a:srgbClr val="142A3B"/>
                            </a:solidFill>
                            <a:latin typeface="Cambria Math" panose="02040503050406030204" pitchFamily="18" charset="0"/>
                            <a:ea typeface="Cambria Math" panose="02040503050406030204" pitchFamily="18" charset="0"/>
                          </a:rPr>
                          <m:t>𝑖</m:t>
                        </m:r>
                        <m:r>
                          <a:rPr lang="cs-CZ" sz="1300" i="1">
                            <a:solidFill>
                              <a:srgbClr val="142A3B"/>
                            </a:solidFill>
                            <a:latin typeface="Cambria Math" panose="02040503050406030204" pitchFamily="18" charset="0"/>
                            <a:ea typeface="Cambria Math" panose="02040503050406030204" pitchFamily="18" charset="0"/>
                          </a:rPr>
                          <m:t> − 0,5</m:t>
                        </m:r>
                      </m:num>
                      <m:den>
                        <m:r>
                          <a:rPr lang="cs-CZ" sz="1300" i="1">
                            <a:solidFill>
                              <a:srgbClr val="142A3B"/>
                            </a:solidFill>
                            <a:latin typeface="Cambria Math" panose="02040503050406030204" pitchFamily="18" charset="0"/>
                            <a:ea typeface="Cambria Math" panose="02040503050406030204" pitchFamily="18" charset="0"/>
                          </a:rPr>
                          <m:t>𝑛</m:t>
                        </m:r>
                      </m:den>
                    </m:f>
                  </m:oMath>
                </m:oMathPara>
              </a14:m>
              <a:endParaRPr lang="cs-CZ" sz="1300">
                <a:solidFill>
                  <a:srgbClr val="142A3B"/>
                </a:solidFill>
                <a:ea typeface="Cambria Math" panose="02040503050406030204" pitchFamily="18" charset="0"/>
              </a:endParaRPr>
            </a:p>
          </xdr:txBody>
        </xdr:sp>
      </mc:Choice>
      <mc:Fallback xmlns="">
        <xdr:sp macro="" textlink="">
          <xdr:nvSpPr>
            <xdr:cNvPr id="3" name="Rovnice 2" descr="p_i = (i − 0,5) / n"/>
            <xdr:cNvSpPr txBox="1"/>
          </xdr:nvSpPr>
          <xdr:spPr>
            <a:xfrm>
              <a:off x="0" y="0"/>
              <a:ext cx="3560000" cy="635800"/>
            </a:xfrm>
            <a:prstGeom prst="rect">
              <a:avLst/>
            </a:prstGeom>
            <a:noFill/>
            <a:ln>
              <a:noFill/>
            </a:ln>
          </xdr:spPr>
          <xdr:txBody>
            <a:bodyPr vertOverflow="clip" horzOverflow="clip" wrap="square" lIns="36000" tIns="0" rIns="0" bIns="0" rtlCol="0" anchor="ctr">
              <a:noAutofit/>
            </a:bodyPr>
            <a:lstStyle/>
            <a:p>
              <a:r>
                <a:rPr lang="cs-CZ" sz="1100"/>
                <a:t>p_i = (i − 0,5) / n</a:t>
              </a:r>
            </a:p>
          </xdr:txBody>
        </xdr:sp>
      </mc:Fallback>
    </mc:AlternateContent>
    <xdr:clientData/>
  </xdr:oneCellAnchor>
  <xdr:oneCellAnchor>
    <xdr:from>
      <xdr:col>0</xdr:col>
      <xdr:colOff>20000</xdr:colOff>
      <xdr:row>31</xdr:row>
      <xdr:rowOff>25000</xdr:rowOff>
    </xdr:from>
    <xdr:ext cx="3560000" cy="407200"/>
    <mc:AlternateContent xmlns:mc="http://schemas.openxmlformats.org/markup-compatibility/2006" xmlns:a14="http://schemas.microsoft.com/office/drawing/2010/main">
      <mc:Choice Requires="a14">
        <xdr:sp macro="" textlink="">
          <xdr:nvSpPr>
            <xdr:cNvPr id="4" name="Rovnice 3" descr="teoretický kvantil = NORM.S.INV(p_i)">
              <a:extLst>
                <a:ext uri="{FF2B5EF4-FFF2-40B4-BE49-F238E27FC236}">
                  <a16:creationId xmlns:a16="http://schemas.microsoft.com/office/drawing/2014/main" id="{00000000-0008-0000-0800-000004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teoretický kvantil</m:t>
                    </m:r>
                    <m:r>
                      <a:rPr lang="cs-CZ" sz="1300" i="1">
                        <a:solidFill>
                          <a:srgbClr val="142A3B"/>
                        </a:solidFill>
                        <a:latin typeface="Cambria Math" panose="02040503050406030204" pitchFamily="18" charset="0"/>
                        <a:ea typeface="Cambria Math" panose="02040503050406030204" pitchFamily="18" charset="0"/>
                      </a:rPr>
                      <m:t> = </m:t>
                    </m:r>
                    <m:r>
                      <m:rPr>
                        <m:nor/>
                      </m:rPr>
                      <a:rPr lang="cs-CZ" sz="1300" i="0">
                        <a:solidFill>
                          <a:srgbClr val="142A3B"/>
                        </a:solidFill>
                        <a:latin typeface="Cambria Math" panose="02040503050406030204" pitchFamily="18" charset="0"/>
                        <a:ea typeface="Cambria Math" panose="02040503050406030204" pitchFamily="18" charset="0"/>
                      </a:rPr>
                      <m:t>NORM.S.INV(</m:t>
                    </m:r>
                    <m:sSub>
                      <m:sSubPr>
                        <m:ctrlPr>
                          <a:rPr lang="cs-CZ" sz="1300" i="1">
                            <a:solidFill>
                              <a:srgbClr val="142A3B"/>
                            </a:solidFill>
                            <a:latin typeface="Cambria Math" panose="02040503050406030204" pitchFamily="18" charset="0"/>
                            <a:ea typeface="Cambria Math" panose="02040503050406030204" pitchFamily="18" charset="0"/>
                          </a:rPr>
                        </m:ctrlPr>
                      </m:sSubPr>
                      <m:e>
                        <m:r>
                          <a:rPr lang="cs-CZ" sz="1300" i="1">
                            <a:solidFill>
                              <a:srgbClr val="142A3B"/>
                            </a:solidFill>
                            <a:latin typeface="Cambria Math" panose="02040503050406030204" pitchFamily="18" charset="0"/>
                            <a:ea typeface="Cambria Math" panose="02040503050406030204" pitchFamily="18" charset="0"/>
                          </a:rPr>
                          <m:t>𝑝</m:t>
                        </m:r>
                      </m:e>
                      <m:sub>
                        <m:r>
                          <a:rPr lang="cs-CZ" sz="1300" i="1">
                            <a:solidFill>
                              <a:srgbClr val="142A3B"/>
                            </a:solidFill>
                            <a:latin typeface="Cambria Math" panose="02040503050406030204" pitchFamily="18" charset="0"/>
                            <a:ea typeface="Cambria Math" panose="02040503050406030204" pitchFamily="18" charset="0"/>
                          </a:rPr>
                          <m:t>𝑖</m:t>
                        </m:r>
                      </m:sub>
                    </m:sSub>
                    <m:r>
                      <m:rPr>
                        <m:nor/>
                      </m:rPr>
                      <a:rPr lang="cs-CZ" sz="1300" i="0">
                        <a:solidFill>
                          <a:srgbClr val="142A3B"/>
                        </a:solidFill>
                        <a:latin typeface="Cambria Math" panose="02040503050406030204" pitchFamily="18" charset="0"/>
                        <a:ea typeface="Cambria Math" panose="02040503050406030204" pitchFamily="18" charset="0"/>
                      </a:rPr>
                      <m:t>)</m:t>
                    </m:r>
                  </m:oMath>
                </m:oMathPara>
              </a14:m>
              <a:endParaRPr lang="cs-CZ" sz="1300">
                <a:solidFill>
                  <a:srgbClr val="142A3B"/>
                </a:solidFill>
                <a:ea typeface="Cambria Math" panose="02040503050406030204" pitchFamily="18" charset="0"/>
              </a:endParaRPr>
            </a:p>
          </xdr:txBody>
        </xdr:sp>
      </mc:Choice>
      <mc:Fallback xmlns="">
        <xdr:sp macro="" textlink="">
          <xdr:nvSpPr>
            <xdr:cNvPr id="4" name="Rovnice 3" descr="teoretický kvantil = NORM.S.INV(p_i)"/>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teoretický kvantil = NORM.S.INV(p_i)</a:t>
              </a:r>
            </a:p>
          </xdr:txBody>
        </xdr:sp>
      </mc:Fallback>
    </mc:AlternateContent>
    <xdr:clientData/>
  </xdr:oneCellAnchor>
  <xdr:oneCellAnchor>
    <xdr:from>
      <xdr:col>0</xdr:col>
      <xdr:colOff>20000</xdr:colOff>
      <xdr:row>36</xdr:row>
      <xdr:rowOff>25000</xdr:rowOff>
    </xdr:from>
    <xdr:ext cx="3560000" cy="407200"/>
    <mc:AlternateContent xmlns:mc="http://schemas.openxmlformats.org/markup-compatibility/2006" xmlns:a14="http://schemas.microsoft.com/office/drawing/2010/main">
      <mc:Choice Requires="a14">
        <xdr:sp macro="" textlink="">
          <xdr:nvSpPr>
            <xdr:cNvPr id="5" name="Rovnice 4" descr="referenční hodnota = m + s z">
              <a:extLst>
                <a:ext uri="{FF2B5EF4-FFF2-40B4-BE49-F238E27FC236}">
                  <a16:creationId xmlns:a16="http://schemas.microsoft.com/office/drawing/2014/main" id="{00000000-0008-0000-0800-000005000000}"/>
                </a:ext>
              </a:extLst>
            </xdr:cNvPr>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pPr algn="l"/>
              <a14:m>
                <m:oMathPara xmlns:m="http://schemas.openxmlformats.org/officeDocument/2006/math">
                  <m:oMathParaPr>
                    <m:jc m:val="left"/>
                  </m:oMathParaPr>
                  <m:oMath>
                    <m:r>
                      <m:rPr>
                        <m:nor/>
                      </m:rPr>
                      <a:rPr lang="cs-CZ" sz="1300" i="0">
                        <a:solidFill>
                          <a:srgbClr val="142A3B"/>
                        </a:solidFill>
                        <a:latin typeface="Cambria Math" panose="02040503050406030204" pitchFamily="18" charset="0"/>
                        <a:ea typeface="Cambria Math" panose="02040503050406030204" pitchFamily="18" charset="0"/>
                      </a:rPr>
                      <m:t>referenční hodnota</m:t>
                    </m:r>
                    <m:r>
                      <a:rPr lang="cs-CZ" sz="1300" i="1">
                        <a:solidFill>
                          <a:srgbClr val="142A3B"/>
                        </a:solidFill>
                        <a:latin typeface="Cambria Math" panose="02040503050406030204" pitchFamily="18" charset="0"/>
                        <a:ea typeface="Cambria Math" panose="02040503050406030204" pitchFamily="18" charset="0"/>
                      </a:rPr>
                      <m:t> = </m:t>
                    </m:r>
                    <m:r>
                      <a:rPr lang="cs-CZ" sz="1300" i="1">
                        <a:solidFill>
                          <a:srgbClr val="142A3B"/>
                        </a:solidFill>
                        <a:latin typeface="Cambria Math" panose="02040503050406030204" pitchFamily="18" charset="0"/>
                        <a:ea typeface="Cambria Math" panose="02040503050406030204" pitchFamily="18" charset="0"/>
                      </a:rPr>
                      <m:t>𝑚</m:t>
                    </m:r>
                    <m:r>
                      <a:rPr lang="cs-CZ" sz="1300" i="1">
                        <a:solidFill>
                          <a:srgbClr val="142A3B"/>
                        </a:solidFill>
                        <a:latin typeface="Cambria Math" panose="02040503050406030204" pitchFamily="18" charset="0"/>
                        <a:ea typeface="Cambria Math" panose="02040503050406030204" pitchFamily="18" charset="0"/>
                      </a:rPr>
                      <m:t> + </m:t>
                    </m:r>
                    <m:r>
                      <a:rPr lang="cs-CZ" sz="1300" i="1">
                        <a:solidFill>
                          <a:srgbClr val="142A3B"/>
                        </a:solidFill>
                        <a:latin typeface="Cambria Math" panose="02040503050406030204" pitchFamily="18" charset="0"/>
                        <a:ea typeface="Cambria Math" panose="02040503050406030204" pitchFamily="18" charset="0"/>
                      </a:rPr>
                      <m:t>𝑠𝑧</m:t>
                    </m:r>
                  </m:oMath>
                </m:oMathPara>
              </a14:m>
              <a:endParaRPr lang="cs-CZ" sz="1300">
                <a:solidFill>
                  <a:srgbClr val="142A3B"/>
                </a:solidFill>
                <a:ea typeface="Cambria Math" panose="02040503050406030204" pitchFamily="18" charset="0"/>
              </a:endParaRPr>
            </a:p>
          </xdr:txBody>
        </xdr:sp>
      </mc:Choice>
      <mc:Fallback xmlns="">
        <xdr:sp macro="" textlink="">
          <xdr:nvSpPr>
            <xdr:cNvPr id="5" name="Rovnice 4" descr="referenční hodnota = m + s z"/>
            <xdr:cNvSpPr txBox="1"/>
          </xdr:nvSpPr>
          <xdr:spPr>
            <a:xfrm>
              <a:off x="0" y="0"/>
              <a:ext cx="3560000" cy="407200"/>
            </a:xfrm>
            <a:prstGeom prst="rect">
              <a:avLst/>
            </a:prstGeom>
            <a:noFill/>
            <a:ln>
              <a:noFill/>
            </a:ln>
          </xdr:spPr>
          <xdr:txBody>
            <a:bodyPr vertOverflow="clip" horzOverflow="clip" wrap="square" lIns="36000" tIns="0" rIns="0" bIns="0" rtlCol="0" anchor="ctr">
              <a:noAutofit/>
            </a:bodyPr>
            <a:lstStyle/>
            <a:p>
              <a:r>
                <a:rPr lang="cs-CZ" sz="1100"/>
                <a:t>referenční hodnota = m + s z</a:t>
              </a:r>
            </a:p>
          </xdr:txBody>
        </xdr:sp>
      </mc:Fallback>
    </mc:AlternateContent>
    <xdr:clientData/>
  </xdr:oneCell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78DF-1E77-48E5-BE81-EF6EA0B17249}">
  <dimension ref="A1:C26"/>
  <sheetViews>
    <sheetView showGridLines="0" tabSelected="1" workbookViewId="0"/>
  </sheetViews>
  <sheetFormatPr defaultRowHeight="14.3" x14ac:dyDescent="0.25"/>
  <cols>
    <col min="1" max="1" width="22.625" customWidth="1"/>
    <col min="2" max="2" width="44.625" customWidth="1"/>
    <col min="3" max="3" width="70.625" customWidth="1"/>
  </cols>
  <sheetData>
    <row r="1" spans="1:3" ht="19.05" x14ac:dyDescent="0.25">
      <c r="A1" s="1" t="s">
        <v>0</v>
      </c>
    </row>
    <row r="2" spans="1:3" x14ac:dyDescent="0.25">
      <c r="A2" s="2" t="s">
        <v>1</v>
      </c>
    </row>
    <row r="4" spans="1:3" x14ac:dyDescent="0.25">
      <c r="A4" s="3" t="s">
        <v>2</v>
      </c>
      <c r="B4" s="3" t="s">
        <v>3</v>
      </c>
      <c r="C4" s="3" t="s">
        <v>4</v>
      </c>
    </row>
    <row r="5" spans="1:3" ht="31.95" customHeight="1" x14ac:dyDescent="0.25">
      <c r="A5" s="5" t="s">
        <v>5</v>
      </c>
      <c r="B5" s="5" t="s">
        <v>6</v>
      </c>
      <c r="C5" s="5" t="s">
        <v>7</v>
      </c>
    </row>
    <row r="6" spans="1:3" ht="31.95" customHeight="1" x14ac:dyDescent="0.25">
      <c r="A6" s="5" t="s">
        <v>8</v>
      </c>
      <c r="B6" s="5" t="s">
        <v>9</v>
      </c>
      <c r="C6" s="5" t="s">
        <v>10</v>
      </c>
    </row>
    <row r="7" spans="1:3" ht="31.95" customHeight="1" x14ac:dyDescent="0.25">
      <c r="A7" s="5" t="s">
        <v>11</v>
      </c>
      <c r="B7" s="5" t="s">
        <v>12</v>
      </c>
      <c r="C7" s="5" t="s">
        <v>13</v>
      </c>
    </row>
    <row r="8" spans="1:3" ht="31.95" customHeight="1" x14ac:dyDescent="0.25">
      <c r="A8" s="5" t="s">
        <v>14</v>
      </c>
      <c r="B8" s="5" t="s">
        <v>15</v>
      </c>
      <c r="C8" s="5" t="s">
        <v>16</v>
      </c>
    </row>
    <row r="9" spans="1:3" ht="31.95" customHeight="1" x14ac:dyDescent="0.25">
      <c r="A9" s="5" t="s">
        <v>17</v>
      </c>
      <c r="B9" s="5" t="s">
        <v>18</v>
      </c>
      <c r="C9" s="5" t="s">
        <v>19</v>
      </c>
    </row>
    <row r="10" spans="1:3" ht="31.95" customHeight="1" x14ac:dyDescent="0.25">
      <c r="A10" s="5" t="s">
        <v>20</v>
      </c>
      <c r="B10" s="5" t="s">
        <v>21</v>
      </c>
      <c r="C10" s="5" t="s">
        <v>22</v>
      </c>
    </row>
    <row r="11" spans="1:3" ht="31.95" customHeight="1" x14ac:dyDescent="0.25">
      <c r="A11" s="5" t="s">
        <v>23</v>
      </c>
      <c r="B11" s="5" t="s">
        <v>24</v>
      </c>
      <c r="C11" s="5" t="s">
        <v>25</v>
      </c>
    </row>
    <row r="12" spans="1:3" ht="31.95" customHeight="1" x14ac:dyDescent="0.25">
      <c r="A12" s="5" t="s">
        <v>26</v>
      </c>
      <c r="B12" s="5" t="s">
        <v>27</v>
      </c>
      <c r="C12" s="5" t="s">
        <v>28</v>
      </c>
    </row>
    <row r="14" spans="1:3" x14ac:dyDescent="0.25">
      <c r="A14" s="6" t="s">
        <v>29</v>
      </c>
    </row>
    <row r="15" spans="1:3" ht="34" customHeight="1" x14ac:dyDescent="0.25">
      <c r="A15" s="5" t="s">
        <v>30</v>
      </c>
      <c r="B15" s="38" t="s">
        <v>36</v>
      </c>
      <c r="C15" s="38"/>
    </row>
    <row r="16" spans="1:3" x14ac:dyDescent="0.25">
      <c r="A16" s="7" t="s">
        <v>31</v>
      </c>
      <c r="B16" s="38" t="s">
        <v>37</v>
      </c>
      <c r="C16" s="38"/>
    </row>
    <row r="17" spans="1:3" ht="64.05" customHeight="1" x14ac:dyDescent="0.25">
      <c r="A17" s="8" t="s">
        <v>32</v>
      </c>
      <c r="B17" s="38" t="s">
        <v>38</v>
      </c>
      <c r="C17" s="38"/>
    </row>
    <row r="18" spans="1:3" ht="34" customHeight="1" x14ac:dyDescent="0.25">
      <c r="A18" s="9" t="s">
        <v>33</v>
      </c>
      <c r="B18" s="38" t="s">
        <v>39</v>
      </c>
      <c r="C18" s="38"/>
    </row>
    <row r="19" spans="1:3" ht="34" customHeight="1" x14ac:dyDescent="0.25">
      <c r="A19" s="5" t="s">
        <v>34</v>
      </c>
      <c r="B19" s="38" t="s">
        <v>40</v>
      </c>
      <c r="C19" s="38"/>
    </row>
    <row r="20" spans="1:3" ht="48.1" customHeight="1" x14ac:dyDescent="0.25">
      <c r="A20" s="5" t="s">
        <v>35</v>
      </c>
      <c r="B20" s="38" t="s">
        <v>41</v>
      </c>
      <c r="C20" s="38"/>
    </row>
    <row r="22" spans="1:3" x14ac:dyDescent="0.25">
      <c r="A22" s="6" t="s">
        <v>42</v>
      </c>
    </row>
    <row r="23" spans="1:3" ht="34" customHeight="1" x14ac:dyDescent="0.25">
      <c r="A23" s="38" t="s">
        <v>43</v>
      </c>
      <c r="B23" s="38"/>
      <c r="C23" s="38"/>
    </row>
    <row r="24" spans="1:3" ht="48.1" customHeight="1" x14ac:dyDescent="0.25">
      <c r="A24" s="38" t="s">
        <v>44</v>
      </c>
      <c r="B24" s="38"/>
      <c r="C24" s="38"/>
    </row>
    <row r="25" spans="1:3" ht="34" customHeight="1" x14ac:dyDescent="0.25">
      <c r="A25" s="38" t="s">
        <v>45</v>
      </c>
      <c r="B25" s="38"/>
      <c r="C25" s="38"/>
    </row>
    <row r="26" spans="1:3" ht="34" customHeight="1" x14ac:dyDescent="0.25">
      <c r="A26" s="38" t="s">
        <v>46</v>
      </c>
      <c r="B26" s="38"/>
      <c r="C26" s="38"/>
    </row>
  </sheetData>
  <mergeCells count="10">
    <mergeCell ref="A23:C23"/>
    <mergeCell ref="A24:C24"/>
    <mergeCell ref="A25:C25"/>
    <mergeCell ref="A26:C26"/>
    <mergeCell ref="B15:C15"/>
    <mergeCell ref="B16:C16"/>
    <mergeCell ref="B17:C17"/>
    <mergeCell ref="B18:C18"/>
    <mergeCell ref="B19:C19"/>
    <mergeCell ref="B20:C20"/>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34E8-22DF-414D-A582-4300A452E48C}">
  <dimension ref="A1:T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8.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8" width="12.625" customWidth="1"/>
    <col min="19" max="19" width="50.625" customWidth="1"/>
    <col min="20" max="20" width="13.625" customWidth="1"/>
  </cols>
  <sheetData>
    <row r="1" spans="1:20" ht="19.05" x14ac:dyDescent="0.25">
      <c r="A1" s="1" t="s">
        <v>47</v>
      </c>
    </row>
    <row r="2" spans="1:20" x14ac:dyDescent="0.25">
      <c r="A2" s="2" t="s">
        <v>48</v>
      </c>
    </row>
    <row r="3" spans="1:20" ht="31.95" customHeight="1" x14ac:dyDescent="0.25">
      <c r="A3" s="3" t="s">
        <v>49</v>
      </c>
      <c r="C3" s="3" t="s">
        <v>50</v>
      </c>
      <c r="D3" s="3" t="s">
        <v>51</v>
      </c>
      <c r="E3" s="3" t="s">
        <v>52</v>
      </c>
      <c r="G3" s="3" t="s">
        <v>53</v>
      </c>
      <c r="H3" s="3" t="s">
        <v>54</v>
      </c>
      <c r="K3" s="10" t="s">
        <v>50</v>
      </c>
      <c r="L3" s="10" t="s">
        <v>71</v>
      </c>
      <c r="M3" s="10" t="s">
        <v>72</v>
      </c>
      <c r="N3" s="10" t="s">
        <v>73</v>
      </c>
      <c r="O3" s="10" t="s">
        <v>74</v>
      </c>
      <c r="Q3" s="10" t="s">
        <v>55</v>
      </c>
      <c r="R3" s="10" t="s">
        <v>54</v>
      </c>
      <c r="S3" s="10" t="s">
        <v>56</v>
      </c>
      <c r="T3" s="10" t="s">
        <v>57</v>
      </c>
    </row>
    <row r="4" spans="1:20" ht="18" customHeight="1" x14ac:dyDescent="0.25">
      <c r="A4" s="38" t="s">
        <v>58</v>
      </c>
      <c r="C4" s="15">
        <v>1</v>
      </c>
      <c r="D4">
        <v>1</v>
      </c>
      <c r="E4" s="14"/>
      <c r="G4" s="4" t="s">
        <v>61</v>
      </c>
      <c r="H4" s="13"/>
      <c r="K4" s="16">
        <f t="shared" ref="K4:K19" si="0">C4</f>
        <v>1</v>
      </c>
      <c r="L4" s="17">
        <f t="shared" ref="L4:L19" si="1">D4-$R$5</f>
        <v>-3</v>
      </c>
      <c r="M4" s="17">
        <f t="shared" ref="M4:M19" si="2">L4^2</f>
        <v>9</v>
      </c>
      <c r="N4" s="17">
        <f t="shared" ref="N4:N19" si="3">L4/$R$9</f>
        <v>-1.8371173070873836</v>
      </c>
      <c r="O4" s="17">
        <f t="shared" ref="O4:O19" si="4">N4^2</f>
        <v>3.375</v>
      </c>
      <c r="Q4" s="5" t="s">
        <v>75</v>
      </c>
      <c r="R4" s="18">
        <f>COUNT($D$4:$D$19)</f>
        <v>16</v>
      </c>
      <c r="S4" s="5" t="s">
        <v>76</v>
      </c>
    </row>
    <row r="5" spans="1:20" ht="18" customHeight="1" x14ac:dyDescent="0.25">
      <c r="A5" s="38"/>
      <c r="C5" s="15">
        <v>2</v>
      </c>
      <c r="D5">
        <v>2</v>
      </c>
      <c r="E5" s="14"/>
      <c r="G5" s="4" t="s">
        <v>62</v>
      </c>
      <c r="H5" s="13"/>
      <c r="K5" s="16">
        <f t="shared" si="0"/>
        <v>2</v>
      </c>
      <c r="L5" s="17">
        <f t="shared" si="1"/>
        <v>-2</v>
      </c>
      <c r="M5" s="17">
        <f t="shared" si="2"/>
        <v>4</v>
      </c>
      <c r="N5" s="17">
        <f t="shared" si="3"/>
        <v>-1.2247448713915889</v>
      </c>
      <c r="O5" s="17">
        <f t="shared" si="4"/>
        <v>1.4999999999999998</v>
      </c>
      <c r="Q5" s="5" t="s">
        <v>77</v>
      </c>
      <c r="R5" s="19">
        <f>SUM($D$4:$D$19)/$R$4</f>
        <v>4</v>
      </c>
      <c r="S5" s="5" t="s">
        <v>78</v>
      </c>
    </row>
    <row r="6" spans="1:20" ht="18" customHeight="1" x14ac:dyDescent="0.25">
      <c r="A6" s="38"/>
      <c r="C6" s="15">
        <v>3</v>
      </c>
      <c r="D6">
        <v>2</v>
      </c>
      <c r="E6" s="14"/>
      <c r="G6" s="4" t="s">
        <v>63</v>
      </c>
      <c r="H6" s="13"/>
      <c r="K6" s="16">
        <f t="shared" si="0"/>
        <v>3</v>
      </c>
      <c r="L6" s="17">
        <f t="shared" si="1"/>
        <v>-2</v>
      </c>
      <c r="M6" s="17">
        <f t="shared" si="2"/>
        <v>4</v>
      </c>
      <c r="N6" s="17">
        <f t="shared" si="3"/>
        <v>-1.2247448713915889</v>
      </c>
      <c r="O6" s="17">
        <f t="shared" si="4"/>
        <v>1.4999999999999998</v>
      </c>
      <c r="Q6" s="5" t="s">
        <v>79</v>
      </c>
      <c r="R6" s="19">
        <f>SUM($M$4:$M$19)</f>
        <v>40</v>
      </c>
      <c r="S6" s="5" t="s">
        <v>80</v>
      </c>
    </row>
    <row r="7" spans="1:20" ht="18" customHeight="1" x14ac:dyDescent="0.25">
      <c r="A7" s="38"/>
      <c r="C7" s="15">
        <v>4</v>
      </c>
      <c r="D7">
        <v>3</v>
      </c>
      <c r="E7" s="14"/>
      <c r="G7" s="4" t="s">
        <v>64</v>
      </c>
      <c r="H7" s="14"/>
      <c r="K7" s="16">
        <f t="shared" si="0"/>
        <v>4</v>
      </c>
      <c r="L7" s="17">
        <f t="shared" si="1"/>
        <v>-1</v>
      </c>
      <c r="M7" s="17">
        <f t="shared" si="2"/>
        <v>1</v>
      </c>
      <c r="N7" s="17">
        <f t="shared" si="3"/>
        <v>-0.61237243569579447</v>
      </c>
      <c r="O7" s="17">
        <f t="shared" si="4"/>
        <v>0.37499999999999994</v>
      </c>
      <c r="Q7" s="5" t="s">
        <v>81</v>
      </c>
      <c r="R7" s="19">
        <f>$R$6/($R$4-1)</f>
        <v>2.6666666666666665</v>
      </c>
      <c r="S7" s="5" t="s">
        <v>82</v>
      </c>
    </row>
    <row r="8" spans="1:20" ht="18" customHeight="1" x14ac:dyDescent="0.25">
      <c r="A8" s="38"/>
      <c r="C8" s="15">
        <v>5</v>
      </c>
      <c r="D8">
        <v>3</v>
      </c>
      <c r="E8" s="14"/>
      <c r="G8" s="4" t="s">
        <v>65</v>
      </c>
      <c r="H8" s="14"/>
      <c r="K8" s="16">
        <f t="shared" si="0"/>
        <v>5</v>
      </c>
      <c r="L8" s="17">
        <f t="shared" si="1"/>
        <v>-1</v>
      </c>
      <c r="M8" s="17">
        <f t="shared" si="2"/>
        <v>1</v>
      </c>
      <c r="N8" s="17">
        <f t="shared" si="3"/>
        <v>-0.61237243569579447</v>
      </c>
      <c r="O8" s="17">
        <f t="shared" si="4"/>
        <v>0.37499999999999994</v>
      </c>
      <c r="Q8" s="20" t="s">
        <v>83</v>
      </c>
    </row>
    <row r="9" spans="1:20" ht="18" customHeight="1" x14ac:dyDescent="0.25">
      <c r="A9" s="38"/>
      <c r="C9" s="15">
        <v>6</v>
      </c>
      <c r="D9">
        <v>3</v>
      </c>
      <c r="E9" s="14"/>
      <c r="G9" s="4" t="s">
        <v>66</v>
      </c>
      <c r="H9" s="14"/>
      <c r="K9" s="16">
        <f t="shared" si="0"/>
        <v>6</v>
      </c>
      <c r="L9" s="17">
        <f t="shared" si="1"/>
        <v>-1</v>
      </c>
      <c r="M9" s="17">
        <f t="shared" si="2"/>
        <v>1</v>
      </c>
      <c r="N9" s="17">
        <f t="shared" si="3"/>
        <v>-0.61237243569579447</v>
      </c>
      <c r="O9" s="17">
        <f t="shared" si="4"/>
        <v>0.37499999999999994</v>
      </c>
      <c r="Q9" s="5" t="s">
        <v>84</v>
      </c>
      <c r="R9" s="19">
        <f>SQRT($R$7)</f>
        <v>1.6329931618554521</v>
      </c>
      <c r="S9" s="5" t="s">
        <v>85</v>
      </c>
    </row>
    <row r="10" spans="1:20" ht="18" customHeight="1" x14ac:dyDescent="0.25">
      <c r="A10" s="38"/>
      <c r="C10" s="15">
        <v>7</v>
      </c>
      <c r="D10">
        <v>4</v>
      </c>
      <c r="E10" s="14"/>
      <c r="K10" s="16">
        <f t="shared" si="0"/>
        <v>7</v>
      </c>
      <c r="L10" s="17">
        <f t="shared" si="1"/>
        <v>0</v>
      </c>
      <c r="M10" s="17">
        <f t="shared" si="2"/>
        <v>0</v>
      </c>
      <c r="N10" s="17">
        <f t="shared" si="3"/>
        <v>0</v>
      </c>
      <c r="O10" s="17">
        <f t="shared" si="4"/>
        <v>0</v>
      </c>
      <c r="Q10" s="5" t="s">
        <v>86</v>
      </c>
      <c r="R10" s="19">
        <f>ROUND(SUM($N$4:$N$19)/$R$4,10)</f>
        <v>0</v>
      </c>
      <c r="S10" s="5" t="s">
        <v>87</v>
      </c>
    </row>
    <row r="11" spans="1:20" ht="18" customHeight="1" x14ac:dyDescent="0.25">
      <c r="C11" s="15">
        <v>8</v>
      </c>
      <c r="D11">
        <v>4</v>
      </c>
      <c r="E11" s="14"/>
      <c r="K11" s="16">
        <f t="shared" si="0"/>
        <v>8</v>
      </c>
      <c r="L11" s="17">
        <f t="shared" si="1"/>
        <v>0</v>
      </c>
      <c r="M11" s="17">
        <f t="shared" si="2"/>
        <v>0</v>
      </c>
      <c r="N11" s="17">
        <f t="shared" si="3"/>
        <v>0</v>
      </c>
      <c r="O11" s="17">
        <f t="shared" si="4"/>
        <v>0</v>
      </c>
      <c r="Q11" s="5" t="s">
        <v>88</v>
      </c>
      <c r="R11" s="19">
        <f>SQRT(SUM($O$4:$O$19)/($R$4-1))</f>
        <v>1</v>
      </c>
      <c r="S11" s="5" t="s">
        <v>89</v>
      </c>
    </row>
    <row r="12" spans="1:20" ht="18" customHeight="1" x14ac:dyDescent="0.25">
      <c r="A12" s="40" t="s">
        <v>59</v>
      </c>
      <c r="C12" s="15">
        <v>9</v>
      </c>
      <c r="D12">
        <v>4</v>
      </c>
      <c r="E12" s="14"/>
      <c r="K12" s="16">
        <f t="shared" si="0"/>
        <v>9</v>
      </c>
      <c r="L12" s="17">
        <f t="shared" si="1"/>
        <v>0</v>
      </c>
      <c r="M12" s="17">
        <f t="shared" si="2"/>
        <v>0</v>
      </c>
      <c r="N12" s="17">
        <f t="shared" si="3"/>
        <v>0</v>
      </c>
      <c r="O12" s="17">
        <f t="shared" si="4"/>
        <v>0</v>
      </c>
      <c r="Q12" s="20" t="s">
        <v>90</v>
      </c>
    </row>
    <row r="13" spans="1:20" ht="18" customHeight="1" x14ac:dyDescent="0.25">
      <c r="A13" s="38"/>
      <c r="C13" s="15">
        <v>10</v>
      </c>
      <c r="D13">
        <v>4</v>
      </c>
      <c r="E13" s="14"/>
      <c r="K13" s="16">
        <f t="shared" si="0"/>
        <v>10</v>
      </c>
      <c r="L13" s="17">
        <f t="shared" si="1"/>
        <v>0</v>
      </c>
      <c r="M13" s="17">
        <f t="shared" si="2"/>
        <v>0</v>
      </c>
      <c r="N13" s="17">
        <f t="shared" si="3"/>
        <v>0</v>
      </c>
      <c r="O13" s="17">
        <f t="shared" si="4"/>
        <v>0</v>
      </c>
      <c r="Q13" s="5" t="s">
        <v>91</v>
      </c>
      <c r="R13" s="21">
        <f>(2.5-$R$5)/$R$9</f>
        <v>-0.91855865354369182</v>
      </c>
      <c r="S13" s="5" t="s">
        <v>92</v>
      </c>
    </row>
    <row r="14" spans="1:20" ht="18" customHeight="1" x14ac:dyDescent="0.25">
      <c r="A14" s="38"/>
      <c r="C14" s="15">
        <v>11</v>
      </c>
      <c r="D14">
        <v>5</v>
      </c>
      <c r="E14" s="14"/>
      <c r="K14" s="16">
        <f t="shared" si="0"/>
        <v>11</v>
      </c>
      <c r="L14" s="17">
        <f t="shared" si="1"/>
        <v>1</v>
      </c>
      <c r="M14" s="17">
        <f t="shared" si="2"/>
        <v>1</v>
      </c>
      <c r="N14" s="17">
        <f t="shared" si="3"/>
        <v>0.61237243569579447</v>
      </c>
      <c r="O14" s="17">
        <f t="shared" si="4"/>
        <v>0.37499999999999994</v>
      </c>
      <c r="Q14" s="5" t="s">
        <v>93</v>
      </c>
      <c r="R14" s="21">
        <f>(6.2-$R$5)/$R$9</f>
        <v>1.3472193585307481</v>
      </c>
      <c r="S14" s="5" t="s">
        <v>94</v>
      </c>
    </row>
    <row r="15" spans="1:20" ht="18" customHeight="1" x14ac:dyDescent="0.25">
      <c r="A15" s="38"/>
      <c r="C15" s="15">
        <v>12</v>
      </c>
      <c r="D15">
        <v>5</v>
      </c>
      <c r="E15" s="14"/>
      <c r="K15" s="16">
        <f t="shared" si="0"/>
        <v>12</v>
      </c>
      <c r="L15" s="17">
        <f t="shared" si="1"/>
        <v>1</v>
      </c>
      <c r="M15" s="17">
        <f t="shared" si="2"/>
        <v>1</v>
      </c>
      <c r="N15" s="17">
        <f t="shared" si="3"/>
        <v>0.61237243569579447</v>
      </c>
      <c r="O15" s="17">
        <f t="shared" si="4"/>
        <v>0.37499999999999994</v>
      </c>
      <c r="Q15" s="5" t="s">
        <v>95</v>
      </c>
      <c r="R15" s="21">
        <f>(9-$R$5)/$R$9</f>
        <v>3.0618621784789726</v>
      </c>
      <c r="S15" s="5" t="s">
        <v>96</v>
      </c>
    </row>
    <row r="16" spans="1:20" ht="18" customHeight="1" x14ac:dyDescent="0.25">
      <c r="A16" s="38"/>
      <c r="C16" s="15">
        <v>13</v>
      </c>
      <c r="D16">
        <v>5</v>
      </c>
      <c r="E16" s="14"/>
      <c r="K16" s="16">
        <f t="shared" si="0"/>
        <v>13</v>
      </c>
      <c r="L16" s="17">
        <f t="shared" si="1"/>
        <v>1</v>
      </c>
      <c r="M16" s="17">
        <f t="shared" si="2"/>
        <v>1</v>
      </c>
      <c r="N16" s="17">
        <f t="shared" si="3"/>
        <v>0.61237243569579447</v>
      </c>
      <c r="O16" s="17">
        <f t="shared" si="4"/>
        <v>0.37499999999999994</v>
      </c>
      <c r="Q16" s="20" t="s">
        <v>97</v>
      </c>
    </row>
    <row r="17" spans="1:20" ht="18" customHeight="1" x14ac:dyDescent="0.25">
      <c r="A17" s="38"/>
      <c r="C17" s="15">
        <v>14</v>
      </c>
      <c r="D17">
        <v>6</v>
      </c>
      <c r="E17" s="14"/>
      <c r="K17" s="16">
        <f t="shared" si="0"/>
        <v>14</v>
      </c>
      <c r="L17" s="17">
        <f t="shared" si="1"/>
        <v>2</v>
      </c>
      <c r="M17" s="17">
        <f t="shared" si="2"/>
        <v>4</v>
      </c>
      <c r="N17" s="17">
        <f t="shared" si="3"/>
        <v>1.2247448713915889</v>
      </c>
      <c r="O17" s="17">
        <f t="shared" si="4"/>
        <v>1.4999999999999998</v>
      </c>
      <c r="Q17" s="5" t="s">
        <v>98</v>
      </c>
      <c r="R17" s="22">
        <f>AVERAGE($D$4:$D$19)</f>
        <v>4</v>
      </c>
      <c r="S17" s="5" t="s">
        <v>99</v>
      </c>
      <c r="T17" s="23" t="str">
        <f>IF(ABS(R17-$R$5)&lt;0.000001,"ano","ne")</f>
        <v>ano</v>
      </c>
    </row>
    <row r="18" spans="1:20" ht="18" customHeight="1" x14ac:dyDescent="0.25">
      <c r="C18" s="15">
        <v>15</v>
      </c>
      <c r="D18">
        <v>6</v>
      </c>
      <c r="E18" s="14"/>
      <c r="K18" s="16">
        <f t="shared" si="0"/>
        <v>15</v>
      </c>
      <c r="L18" s="17">
        <f t="shared" si="1"/>
        <v>2</v>
      </c>
      <c r="M18" s="17">
        <f t="shared" si="2"/>
        <v>4</v>
      </c>
      <c r="N18" s="17">
        <f t="shared" si="3"/>
        <v>1.2247448713915889</v>
      </c>
      <c r="O18" s="17">
        <f t="shared" si="4"/>
        <v>1.4999999999999998</v>
      </c>
      <c r="Q18" s="5" t="s">
        <v>100</v>
      </c>
      <c r="R18" s="22">
        <f>_xlfn.STDEV.S($D$4:$D$19)</f>
        <v>1.6329931618554521</v>
      </c>
      <c r="S18" s="5" t="s">
        <v>101</v>
      </c>
      <c r="T18" s="23" t="str">
        <f>IF(ABS(R18-$R$9)&lt;0.000001,"ano","ne")</f>
        <v>ano</v>
      </c>
    </row>
    <row r="19" spans="1:20" ht="18" customHeight="1" x14ac:dyDescent="0.25">
      <c r="A19" s="41" t="s">
        <v>60</v>
      </c>
      <c r="C19" s="15">
        <v>16</v>
      </c>
      <c r="D19">
        <v>7</v>
      </c>
      <c r="E19" s="14"/>
      <c r="K19" s="16">
        <f t="shared" si="0"/>
        <v>16</v>
      </c>
      <c r="L19" s="17">
        <f t="shared" si="1"/>
        <v>3</v>
      </c>
      <c r="M19" s="17">
        <f t="shared" si="2"/>
        <v>9</v>
      </c>
      <c r="N19" s="17">
        <f t="shared" si="3"/>
        <v>1.8371173070873836</v>
      </c>
      <c r="O19" s="17">
        <f t="shared" si="4"/>
        <v>3.375</v>
      </c>
      <c r="Q19" s="5" t="s">
        <v>102</v>
      </c>
      <c r="R19" s="24">
        <f>STANDARDIZE(9,$R$5,$R$9)</f>
        <v>3.0618621784789726</v>
      </c>
      <c r="S19" s="5" t="s">
        <v>103</v>
      </c>
      <c r="T19" s="23" t="str">
        <f>IF(ABS(R19-$R$15)&lt;0.000001,"ano","ne")</f>
        <v>ano</v>
      </c>
    </row>
    <row r="20" spans="1:20" ht="18" customHeight="1" x14ac:dyDescent="0.25">
      <c r="A20" s="38"/>
    </row>
    <row r="21" spans="1:20" ht="18" customHeight="1" x14ac:dyDescent="0.25">
      <c r="Q21" s="39" t="s">
        <v>104</v>
      </c>
      <c r="R21" s="39"/>
      <c r="S21" s="39"/>
    </row>
    <row r="22" spans="1:20" ht="18" customHeight="1" x14ac:dyDescent="0.25">
      <c r="Q22" s="38" t="s">
        <v>105</v>
      </c>
      <c r="R22" s="38"/>
      <c r="S22" s="38"/>
    </row>
    <row r="23" spans="1:20" ht="18" customHeight="1" x14ac:dyDescent="0.25">
      <c r="Q23" s="38"/>
      <c r="R23" s="38"/>
      <c r="S23" s="38"/>
    </row>
    <row r="24" spans="1:20" ht="18" customHeight="1" x14ac:dyDescent="0.25">
      <c r="Q24" s="38"/>
      <c r="R24" s="38"/>
      <c r="S24" s="38"/>
    </row>
    <row r="25" spans="1:20" ht="18" customHeight="1" x14ac:dyDescent="0.25">
      <c r="A25" s="10" t="s">
        <v>67</v>
      </c>
      <c r="Q25" s="38"/>
      <c r="R25" s="38"/>
      <c r="S25" s="38"/>
    </row>
    <row r="26" spans="1:20" ht="18" customHeight="1" x14ac:dyDescent="0.25">
      <c r="Q26" s="38"/>
      <c r="R26" s="38"/>
      <c r="S26" s="38"/>
    </row>
    <row r="27" spans="1:20" ht="18" customHeight="1" x14ac:dyDescent="0.25">
      <c r="Q27" s="38"/>
      <c r="R27" s="38"/>
      <c r="S27" s="38"/>
    </row>
    <row r="28" spans="1:20" ht="18" customHeight="1" x14ac:dyDescent="0.25">
      <c r="Q28" s="38"/>
      <c r="R28" s="38"/>
      <c r="S28" s="38"/>
    </row>
    <row r="29" spans="1:20" ht="18" customHeight="1" x14ac:dyDescent="0.25">
      <c r="A29" s="41" t="s">
        <v>68</v>
      </c>
      <c r="Q29" s="38"/>
      <c r="R29" s="38"/>
      <c r="S29" s="38"/>
    </row>
    <row r="30" spans="1:20" ht="18" customHeight="1" x14ac:dyDescent="0.25">
      <c r="A30" s="38"/>
      <c r="Q30" s="38"/>
      <c r="R30" s="38"/>
      <c r="S30" s="38"/>
    </row>
    <row r="31" spans="1:20" ht="18" customHeight="1" x14ac:dyDescent="0.25">
      <c r="Q31" s="38"/>
      <c r="R31" s="38"/>
      <c r="S31" s="38"/>
    </row>
    <row r="32" spans="1:20" ht="18" customHeight="1" x14ac:dyDescent="0.25">
      <c r="Q32" s="38"/>
      <c r="R32" s="38"/>
      <c r="S32" s="38"/>
    </row>
    <row r="33" spans="1:19" ht="18" customHeight="1" x14ac:dyDescent="0.25">
      <c r="Q33" s="38"/>
      <c r="R33" s="38"/>
      <c r="S33" s="38"/>
    </row>
    <row r="34" spans="1:19" ht="18" customHeight="1" x14ac:dyDescent="0.25">
      <c r="Q34" s="38"/>
      <c r="R34" s="38"/>
      <c r="S34" s="38"/>
    </row>
    <row r="35" spans="1:19" ht="18" customHeight="1" x14ac:dyDescent="0.25">
      <c r="A35" s="41" t="s">
        <v>69</v>
      </c>
      <c r="Q35" s="38"/>
      <c r="R35" s="38"/>
      <c r="S35" s="38"/>
    </row>
    <row r="36" spans="1:19" ht="18" customHeight="1" x14ac:dyDescent="0.25">
      <c r="A36" s="38"/>
    </row>
    <row r="37" spans="1:19" ht="18" customHeight="1" x14ac:dyDescent="0.25"/>
    <row r="38" spans="1:19" ht="18" customHeight="1" x14ac:dyDescent="0.25"/>
    <row r="39" spans="1:19" ht="18" customHeight="1" x14ac:dyDescent="0.25"/>
    <row r="40" spans="1:19" ht="18" customHeight="1" x14ac:dyDescent="0.25"/>
    <row r="41" spans="1:19" ht="18" customHeight="1" x14ac:dyDescent="0.25">
      <c r="A41" s="41" t="s">
        <v>70</v>
      </c>
    </row>
    <row r="42" spans="1:19" ht="18" customHeight="1" x14ac:dyDescent="0.25">
      <c r="A42" s="38"/>
    </row>
    <row r="43" spans="1:19" ht="18" customHeight="1" x14ac:dyDescent="0.25"/>
    <row r="44" spans="1:19" ht="18" customHeight="1" x14ac:dyDescent="0.25"/>
    <row r="45" spans="1:19" ht="18" customHeight="1" x14ac:dyDescent="0.25"/>
    <row r="46" spans="1:19" ht="18" customHeight="1" x14ac:dyDescent="0.25"/>
    <row r="47" spans="1:19" ht="18" customHeight="1" x14ac:dyDescent="0.25"/>
    <row r="48" spans="1:19"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8">
    <mergeCell ref="A41:A42"/>
    <mergeCell ref="Q21:S21"/>
    <mergeCell ref="Q22:S35"/>
    <mergeCell ref="A4:A10"/>
    <mergeCell ref="A12:A17"/>
    <mergeCell ref="A19:A20"/>
    <mergeCell ref="A29:A30"/>
    <mergeCell ref="A35:A36"/>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B9A3-8981-4FF2-8F71-7DCC0FEC1F00}">
  <dimension ref="A1:T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8" width="12.625" customWidth="1"/>
    <col min="19" max="19" width="50.625" customWidth="1"/>
    <col min="20" max="20" width="13.625" customWidth="1"/>
  </cols>
  <sheetData>
    <row r="1" spans="1:20" ht="19.05" x14ac:dyDescent="0.25">
      <c r="A1" s="1" t="s">
        <v>106</v>
      </c>
    </row>
    <row r="2" spans="1:20" x14ac:dyDescent="0.25">
      <c r="A2" s="2" t="s">
        <v>107</v>
      </c>
    </row>
    <row r="3" spans="1:20" ht="31.95" customHeight="1" x14ac:dyDescent="0.25">
      <c r="A3" s="3" t="s">
        <v>49</v>
      </c>
      <c r="C3" s="3" t="s">
        <v>108</v>
      </c>
      <c r="D3" s="3" t="s">
        <v>51</v>
      </c>
      <c r="G3" s="3" t="s">
        <v>53</v>
      </c>
      <c r="H3" s="3" t="s">
        <v>54</v>
      </c>
      <c r="Q3" s="10" t="s">
        <v>55</v>
      </c>
      <c r="R3" s="10" t="s">
        <v>54</v>
      </c>
      <c r="S3" s="10" t="s">
        <v>56</v>
      </c>
      <c r="T3" s="10" t="s">
        <v>57</v>
      </c>
    </row>
    <row r="4" spans="1:20" ht="18" customHeight="1" x14ac:dyDescent="0.25">
      <c r="A4" s="38" t="s">
        <v>111</v>
      </c>
      <c r="C4" t="s">
        <v>109</v>
      </c>
      <c r="D4">
        <v>975</v>
      </c>
      <c r="G4" s="4" t="s">
        <v>115</v>
      </c>
      <c r="H4" s="14"/>
      <c r="Q4" s="20" t="s">
        <v>124</v>
      </c>
    </row>
    <row r="5" spans="1:20" ht="18" customHeight="1" x14ac:dyDescent="0.25">
      <c r="A5" s="38"/>
      <c r="C5" t="s">
        <v>110</v>
      </c>
      <c r="D5">
        <v>15</v>
      </c>
      <c r="G5" s="4" t="s">
        <v>116</v>
      </c>
      <c r="H5" s="14"/>
      <c r="Q5" s="5" t="s">
        <v>125</v>
      </c>
      <c r="R5" s="19">
        <f>(960-$D$4)/$D$5</f>
        <v>-1</v>
      </c>
      <c r="S5" s="5" t="s">
        <v>126</v>
      </c>
    </row>
    <row r="6" spans="1:20" ht="18" customHeight="1" x14ac:dyDescent="0.25">
      <c r="A6" s="38"/>
      <c r="G6" s="4" t="s">
        <v>117</v>
      </c>
      <c r="H6" s="14"/>
      <c r="Q6" s="5" t="s">
        <v>127</v>
      </c>
      <c r="R6" s="19">
        <f>(975-$D$4)/$D$5</f>
        <v>0</v>
      </c>
      <c r="S6" s="5" t="s">
        <v>128</v>
      </c>
    </row>
    <row r="7" spans="1:20" ht="18" customHeight="1" x14ac:dyDescent="0.25">
      <c r="A7" s="38"/>
      <c r="G7" s="4" t="s">
        <v>118</v>
      </c>
      <c r="H7" s="25"/>
      <c r="Q7" s="5" t="s">
        <v>129</v>
      </c>
      <c r="R7" s="19">
        <f>(990-$D$4)/$D$5</f>
        <v>1</v>
      </c>
      <c r="S7" s="5" t="s">
        <v>130</v>
      </c>
    </row>
    <row r="8" spans="1:20" ht="18" customHeight="1" x14ac:dyDescent="0.25">
      <c r="A8" s="38"/>
      <c r="G8" s="4" t="s">
        <v>119</v>
      </c>
      <c r="H8" s="25"/>
      <c r="Q8" s="20" t="s">
        <v>131</v>
      </c>
    </row>
    <row r="9" spans="1:20" ht="18" customHeight="1" x14ac:dyDescent="0.25">
      <c r="G9" s="4" t="s">
        <v>120</v>
      </c>
      <c r="H9" s="25"/>
      <c r="Q9" s="5" t="s">
        <v>132</v>
      </c>
      <c r="R9" s="26">
        <f>_xlfn.NORM.S.DIST($R$5,TRUE)</f>
        <v>0.15865525393145699</v>
      </c>
      <c r="S9" s="5" t="s">
        <v>133</v>
      </c>
    </row>
    <row r="10" spans="1:20" ht="18" customHeight="1" x14ac:dyDescent="0.25">
      <c r="A10" s="38" t="s">
        <v>112</v>
      </c>
      <c r="Q10" s="5" t="s">
        <v>134</v>
      </c>
      <c r="R10" s="27">
        <f>_xlfn.NORM.S.DIST($R$6,TRUE)</f>
        <v>0.5</v>
      </c>
      <c r="S10" s="5" t="s">
        <v>135</v>
      </c>
    </row>
    <row r="11" spans="1:20" ht="18" customHeight="1" x14ac:dyDescent="0.25">
      <c r="A11" s="38"/>
      <c r="Q11" s="5" t="s">
        <v>136</v>
      </c>
      <c r="R11" s="27">
        <f>_xlfn.NORM.S.DIST($R$7,TRUE)</f>
        <v>0.84134474606854304</v>
      </c>
      <c r="S11" s="5" t="s">
        <v>137</v>
      </c>
    </row>
    <row r="12" spans="1:20" ht="18" customHeight="1" x14ac:dyDescent="0.25">
      <c r="A12" s="38"/>
      <c r="Q12" s="5" t="s">
        <v>138</v>
      </c>
      <c r="R12" s="27">
        <f>$R$11-$R$9</f>
        <v>0.68268949213708607</v>
      </c>
      <c r="S12" s="5" t="s">
        <v>139</v>
      </c>
    </row>
    <row r="13" spans="1:20" ht="18" customHeight="1" x14ac:dyDescent="0.25">
      <c r="Q13" s="20" t="s">
        <v>97</v>
      </c>
    </row>
    <row r="14" spans="1:20" ht="18" customHeight="1" x14ac:dyDescent="0.25">
      <c r="A14" s="40" t="s">
        <v>113</v>
      </c>
      <c r="Q14" s="5" t="s">
        <v>140</v>
      </c>
      <c r="R14" s="28">
        <f>_xlfn.NORM.DIST(975,$D$4,$D$5,TRUE)</f>
        <v>0.5</v>
      </c>
      <c r="S14" s="5" t="s">
        <v>141</v>
      </c>
      <c r="T14" s="23" t="str">
        <f>IF(ABS(R14-$R$10)&lt;0.000001,"ano","ne")</f>
        <v>ano</v>
      </c>
    </row>
    <row r="15" spans="1:20" ht="18" customHeight="1" x14ac:dyDescent="0.25">
      <c r="A15" s="38"/>
      <c r="Q15" s="5" t="s">
        <v>142</v>
      </c>
      <c r="R15" s="28">
        <f>_xlfn.NORM.DIST(990,$D$4,$D$5,TRUE)</f>
        <v>0.84134474606854304</v>
      </c>
      <c r="S15" s="5" t="s">
        <v>143</v>
      </c>
      <c r="T15" s="23" t="str">
        <f>IF(ABS(R15-$R$11)&lt;0.000001,"ano","ne")</f>
        <v>ano</v>
      </c>
    </row>
    <row r="16" spans="1:20" ht="18" customHeight="1" x14ac:dyDescent="0.25">
      <c r="A16" s="38"/>
      <c r="Q16" s="5" t="s">
        <v>144</v>
      </c>
      <c r="R16" s="28">
        <f>_xlfn.NORM.DIST(990,$D$4,$D$5,TRUE)-_xlfn.NORM.DIST(960,$D$4,$D$5,TRUE)</f>
        <v>0.68268949213708607</v>
      </c>
      <c r="S16" s="5" t="s">
        <v>145</v>
      </c>
      <c r="T16" s="23" t="str">
        <f>IF(ABS(R16-$R$12)&lt;0.000001,"ano","ne")</f>
        <v>ano</v>
      </c>
    </row>
    <row r="17" spans="1:19" ht="18" customHeight="1" x14ac:dyDescent="0.25">
      <c r="A17" s="38"/>
    </row>
    <row r="18" spans="1:19" ht="18" customHeight="1" x14ac:dyDescent="0.25">
      <c r="A18" s="38"/>
      <c r="Q18" s="39" t="s">
        <v>104</v>
      </c>
      <c r="R18" s="39"/>
      <c r="S18" s="39"/>
    </row>
    <row r="19" spans="1:19" ht="18" customHeight="1" x14ac:dyDescent="0.25">
      <c r="A19" s="38"/>
      <c r="Q19" s="38" t="s">
        <v>146</v>
      </c>
      <c r="R19" s="38"/>
      <c r="S19" s="38"/>
    </row>
    <row r="20" spans="1:19" ht="18" customHeight="1" x14ac:dyDescent="0.25">
      <c r="Q20" s="38"/>
      <c r="R20" s="38"/>
      <c r="S20" s="38"/>
    </row>
    <row r="21" spans="1:19" ht="18" customHeight="1" x14ac:dyDescent="0.25">
      <c r="A21" s="41" t="s">
        <v>114</v>
      </c>
      <c r="Q21" s="38"/>
      <c r="R21" s="38"/>
      <c r="S21" s="38"/>
    </row>
    <row r="22" spans="1:19" ht="18" customHeight="1" x14ac:dyDescent="0.25">
      <c r="A22" s="38"/>
      <c r="Q22" s="38"/>
      <c r="R22" s="38"/>
      <c r="S22" s="38"/>
    </row>
    <row r="23" spans="1:19" ht="18" customHeight="1" x14ac:dyDescent="0.25">
      <c r="Q23" s="38"/>
      <c r="R23" s="38"/>
      <c r="S23" s="38"/>
    </row>
    <row r="24" spans="1:19" ht="18" customHeight="1" x14ac:dyDescent="0.25">
      <c r="Q24" s="38"/>
      <c r="R24" s="38"/>
      <c r="S24" s="38"/>
    </row>
    <row r="25" spans="1:19" ht="18" customHeight="1" x14ac:dyDescent="0.25">
      <c r="A25" s="10" t="s">
        <v>67</v>
      </c>
      <c r="Q25" s="38"/>
      <c r="R25" s="38"/>
      <c r="S25" s="38"/>
    </row>
    <row r="26" spans="1:19" ht="18" customHeight="1" x14ac:dyDescent="0.25">
      <c r="Q26" s="38"/>
      <c r="R26" s="38"/>
      <c r="S26" s="38"/>
    </row>
    <row r="27" spans="1:19" ht="18" customHeight="1" x14ac:dyDescent="0.25">
      <c r="Q27" s="38"/>
      <c r="R27" s="38"/>
      <c r="S27" s="38"/>
    </row>
    <row r="28" spans="1:19" ht="18" customHeight="1" x14ac:dyDescent="0.25">
      <c r="Q28" s="38"/>
      <c r="R28" s="38"/>
      <c r="S28" s="38"/>
    </row>
    <row r="29" spans="1:19" ht="18" customHeight="1" x14ac:dyDescent="0.25">
      <c r="A29" s="41" t="s">
        <v>121</v>
      </c>
      <c r="Q29" s="38"/>
      <c r="R29" s="38"/>
      <c r="S29" s="38"/>
    </row>
    <row r="30" spans="1:19" ht="18" customHeight="1" x14ac:dyDescent="0.25">
      <c r="A30" s="38"/>
      <c r="Q30" s="38"/>
      <c r="R30" s="38"/>
      <c r="S30" s="38"/>
    </row>
    <row r="31" spans="1:19" ht="18" customHeight="1" x14ac:dyDescent="0.25">
      <c r="A31" s="38"/>
    </row>
    <row r="32" spans="1:19" ht="18" customHeight="1" x14ac:dyDescent="0.25"/>
    <row r="33" spans="1:1" ht="18" customHeight="1" x14ac:dyDescent="0.25"/>
    <row r="34" spans="1:1" ht="18" customHeight="1" x14ac:dyDescent="0.25"/>
    <row r="35" spans="1:1" ht="18" customHeight="1" x14ac:dyDescent="0.25">
      <c r="A35" s="41" t="s">
        <v>122</v>
      </c>
    </row>
    <row r="36" spans="1:1" ht="18" customHeight="1" x14ac:dyDescent="0.25">
      <c r="A36" s="38"/>
    </row>
    <row r="37" spans="1:1" ht="18" customHeight="1" x14ac:dyDescent="0.25"/>
    <row r="38" spans="1:1" ht="18" customHeight="1" x14ac:dyDescent="0.25"/>
    <row r="39" spans="1:1" ht="18" customHeight="1" x14ac:dyDescent="0.25"/>
    <row r="40" spans="1:1" ht="18" customHeight="1" x14ac:dyDescent="0.25"/>
    <row r="41" spans="1:1" ht="18" customHeight="1" x14ac:dyDescent="0.25">
      <c r="A41" s="41" t="s">
        <v>123</v>
      </c>
    </row>
    <row r="42" spans="1:1" ht="18" customHeight="1" x14ac:dyDescent="0.25">
      <c r="A42" s="38"/>
    </row>
    <row r="43" spans="1:1" ht="18" customHeight="1" x14ac:dyDescent="0.25"/>
    <row r="44" spans="1:1" ht="18" customHeight="1" x14ac:dyDescent="0.25"/>
    <row r="45" spans="1:1" ht="18" customHeight="1" x14ac:dyDescent="0.25"/>
    <row r="46" spans="1:1" ht="18" customHeight="1" x14ac:dyDescent="0.25"/>
    <row r="47" spans="1:1" ht="18" customHeight="1" x14ac:dyDescent="0.25"/>
    <row r="48" spans="1:1"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9">
    <mergeCell ref="A41:A42"/>
    <mergeCell ref="Q18:S18"/>
    <mergeCell ref="Q19:S30"/>
    <mergeCell ref="A4:A8"/>
    <mergeCell ref="A10:A12"/>
    <mergeCell ref="A14:A19"/>
    <mergeCell ref="A21:A22"/>
    <mergeCell ref="A29:A31"/>
    <mergeCell ref="A35:A36"/>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43A1-9F1F-469B-8AC2-BA5D2F06BA7A}">
  <dimension ref="A1:T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8" width="12.625" customWidth="1"/>
    <col min="19" max="19" width="50.625" customWidth="1"/>
    <col min="20" max="20" width="13.625" customWidth="1"/>
  </cols>
  <sheetData>
    <row r="1" spans="1:20" ht="19.05" x14ac:dyDescent="0.25">
      <c r="A1" s="1" t="s">
        <v>147</v>
      </c>
    </row>
    <row r="2" spans="1:20" x14ac:dyDescent="0.25">
      <c r="A2" s="2" t="s">
        <v>148</v>
      </c>
    </row>
    <row r="3" spans="1:20" ht="31.95" customHeight="1" x14ac:dyDescent="0.25">
      <c r="A3" s="3" t="s">
        <v>49</v>
      </c>
      <c r="C3" s="3" t="s">
        <v>108</v>
      </c>
      <c r="D3" s="3" t="s">
        <v>51</v>
      </c>
      <c r="G3" s="3" t="s">
        <v>53</v>
      </c>
      <c r="H3" s="3" t="s">
        <v>54</v>
      </c>
      <c r="Q3" s="10" t="s">
        <v>55</v>
      </c>
      <c r="R3" s="10" t="s">
        <v>54</v>
      </c>
      <c r="S3" s="10" t="s">
        <v>56</v>
      </c>
      <c r="T3" s="10" t="s">
        <v>57</v>
      </c>
    </row>
    <row r="4" spans="1:20" ht="18" customHeight="1" x14ac:dyDescent="0.25">
      <c r="A4" s="38" t="s">
        <v>149</v>
      </c>
      <c r="C4" t="s">
        <v>109</v>
      </c>
      <c r="D4">
        <v>975</v>
      </c>
      <c r="G4" s="4" t="s">
        <v>152</v>
      </c>
      <c r="H4" s="13"/>
      <c r="Q4" s="20" t="s">
        <v>160</v>
      </c>
    </row>
    <row r="5" spans="1:20" ht="18" customHeight="1" x14ac:dyDescent="0.25">
      <c r="A5" s="38"/>
      <c r="C5" t="s">
        <v>110</v>
      </c>
      <c r="D5">
        <v>15</v>
      </c>
      <c r="G5" s="4" t="s">
        <v>153</v>
      </c>
      <c r="H5" s="14"/>
      <c r="Q5" s="5" t="s">
        <v>161</v>
      </c>
      <c r="R5" s="19">
        <f>(1-0.5)/2</f>
        <v>0.25</v>
      </c>
      <c r="S5" s="5" t="s">
        <v>162</v>
      </c>
    </row>
    <row r="6" spans="1:20" ht="18" customHeight="1" x14ac:dyDescent="0.25">
      <c r="A6" s="38"/>
      <c r="G6" s="4" t="s">
        <v>154</v>
      </c>
      <c r="H6" s="14"/>
      <c r="Q6" s="5" t="s">
        <v>163</v>
      </c>
      <c r="R6" s="19">
        <f>1-$R$5</f>
        <v>0.75</v>
      </c>
      <c r="S6" s="5" t="s">
        <v>164</v>
      </c>
    </row>
    <row r="7" spans="1:20" ht="18" customHeight="1" x14ac:dyDescent="0.25">
      <c r="G7" s="4" t="s">
        <v>155</v>
      </c>
      <c r="H7" s="14"/>
      <c r="Q7" s="5" t="s">
        <v>165</v>
      </c>
      <c r="R7" s="26">
        <f>_xlfn.NORM.S.INV($R$5)</f>
        <v>-0.67448975019608193</v>
      </c>
      <c r="S7" s="5" t="s">
        <v>166</v>
      </c>
    </row>
    <row r="8" spans="1:20" ht="18" customHeight="1" x14ac:dyDescent="0.25">
      <c r="A8" s="38" t="s">
        <v>150</v>
      </c>
      <c r="G8" s="4" t="s">
        <v>156</v>
      </c>
      <c r="H8" s="14"/>
      <c r="Q8" s="5" t="s">
        <v>167</v>
      </c>
      <c r="R8" s="26">
        <f>_xlfn.NORM.S.INV($R$6)</f>
        <v>0.67448975019608193</v>
      </c>
      <c r="S8" s="5" t="s">
        <v>168</v>
      </c>
    </row>
    <row r="9" spans="1:20" ht="18" customHeight="1" x14ac:dyDescent="0.25">
      <c r="A9" s="38"/>
      <c r="G9" s="4" t="s">
        <v>157</v>
      </c>
      <c r="H9" s="14"/>
      <c r="Q9" s="5" t="s">
        <v>169</v>
      </c>
      <c r="R9" s="21">
        <f>$D$4+$D$5*$R$7</f>
        <v>964.88265374705873</v>
      </c>
      <c r="S9" s="5" t="s">
        <v>170</v>
      </c>
    </row>
    <row r="10" spans="1:20" ht="18" customHeight="1" x14ac:dyDescent="0.25">
      <c r="A10" s="38"/>
      <c r="Q10" s="5" t="s">
        <v>171</v>
      </c>
      <c r="R10" s="21">
        <f>$D$4+$D$5*$R$8</f>
        <v>985.11734625294127</v>
      </c>
      <c r="S10" s="5" t="s">
        <v>172</v>
      </c>
    </row>
    <row r="11" spans="1:20" ht="18" customHeight="1" x14ac:dyDescent="0.25">
      <c r="A11" s="38"/>
      <c r="Q11" s="20" t="s">
        <v>173</v>
      </c>
    </row>
    <row r="12" spans="1:20" ht="18" customHeight="1" x14ac:dyDescent="0.25">
      <c r="A12" s="38"/>
      <c r="Q12" s="5" t="s">
        <v>174</v>
      </c>
      <c r="R12" s="21">
        <f>$D$4+$D$5*_xlfn.NORM.S.INV(0.75)</f>
        <v>985.11734625294127</v>
      </c>
      <c r="S12" s="5" t="s">
        <v>175</v>
      </c>
    </row>
    <row r="13" spans="1:20" ht="18" customHeight="1" x14ac:dyDescent="0.25">
      <c r="Q13" s="20" t="s">
        <v>176</v>
      </c>
    </row>
    <row r="14" spans="1:20" ht="18" customHeight="1" x14ac:dyDescent="0.25">
      <c r="A14" s="40" t="s">
        <v>113</v>
      </c>
      <c r="Q14" s="5" t="s">
        <v>177</v>
      </c>
      <c r="R14" s="19">
        <f>(1-0.95)/2</f>
        <v>2.5000000000000022E-2</v>
      </c>
      <c r="S14" s="5" t="s">
        <v>178</v>
      </c>
    </row>
    <row r="15" spans="1:20" ht="18" customHeight="1" x14ac:dyDescent="0.25">
      <c r="A15" s="38"/>
      <c r="Q15" s="5" t="s">
        <v>179</v>
      </c>
      <c r="R15" s="26">
        <f>_xlfn.NORM.S.INV(1-$R$14)</f>
        <v>1.9599639845400536</v>
      </c>
      <c r="S15" s="5" t="s">
        <v>180</v>
      </c>
    </row>
    <row r="16" spans="1:20" ht="18" customHeight="1" x14ac:dyDescent="0.25">
      <c r="A16" s="38"/>
      <c r="Q16" s="5" t="s">
        <v>181</v>
      </c>
      <c r="R16" s="21">
        <f>$D$4-$D$5*$R$15</f>
        <v>945.60054023189923</v>
      </c>
      <c r="S16" s="5" t="s">
        <v>182</v>
      </c>
    </row>
    <row r="17" spans="1:20" ht="18" customHeight="1" x14ac:dyDescent="0.25">
      <c r="A17" s="38"/>
      <c r="Q17" s="5" t="s">
        <v>183</v>
      </c>
      <c r="R17" s="21">
        <f>$D$4+$D$5*$R$15</f>
        <v>1004.3994597681008</v>
      </c>
      <c r="S17" s="5" t="s">
        <v>184</v>
      </c>
    </row>
    <row r="18" spans="1:20" ht="18" customHeight="1" x14ac:dyDescent="0.25">
      <c r="A18" s="38"/>
      <c r="Q18" s="20" t="s">
        <v>97</v>
      </c>
    </row>
    <row r="19" spans="1:20" ht="18" customHeight="1" x14ac:dyDescent="0.25">
      <c r="A19" s="38"/>
      <c r="Q19" s="5" t="s">
        <v>185</v>
      </c>
      <c r="R19" s="24">
        <f>_xlfn.NORM.INV(0.25,$D$4,$D$5)</f>
        <v>964.88265374705873</v>
      </c>
      <c r="S19" s="5" t="s">
        <v>186</v>
      </c>
      <c r="T19" s="23" t="str">
        <f>IF(ABS(R19-$R$9)&lt;0.000001,"ano","ne")</f>
        <v>ano</v>
      </c>
    </row>
    <row r="20" spans="1:20" ht="18" customHeight="1" x14ac:dyDescent="0.25">
      <c r="Q20" s="5" t="s">
        <v>187</v>
      </c>
      <c r="R20" s="24">
        <f>_xlfn.NORM.INV(0.75,$D$4,$D$5)</f>
        <v>985.11734625294127</v>
      </c>
      <c r="S20" s="5" t="s">
        <v>188</v>
      </c>
      <c r="T20" s="23" t="str">
        <f>IF(ABS(R20-$R$12)&lt;0.000001,"ano","ne")</f>
        <v>ano</v>
      </c>
    </row>
    <row r="21" spans="1:20" ht="18" customHeight="1" x14ac:dyDescent="0.25">
      <c r="A21" s="41" t="s">
        <v>151</v>
      </c>
      <c r="Q21" s="5" t="s">
        <v>189</v>
      </c>
      <c r="R21" s="24">
        <f>_xlfn.NORM.INV(0.025,$D$4,$D$5)</f>
        <v>945.60054023189923</v>
      </c>
      <c r="S21" s="5" t="s">
        <v>190</v>
      </c>
      <c r="T21" s="23" t="str">
        <f>IF(ABS(R21-$R$16)&lt;0.000001,"ano","ne")</f>
        <v>ano</v>
      </c>
    </row>
    <row r="22" spans="1:20" ht="18" customHeight="1" x14ac:dyDescent="0.25">
      <c r="A22" s="38"/>
      <c r="Q22" s="5" t="s">
        <v>191</v>
      </c>
      <c r="R22" s="24">
        <f>_xlfn.NORM.INV(0.975,$D$4,$D$5)</f>
        <v>1004.3994597681008</v>
      </c>
      <c r="S22" s="5" t="s">
        <v>192</v>
      </c>
      <c r="T22" s="23" t="str">
        <f>IF(ABS(R22-$R$17)&lt;0.000001,"ano","ne")</f>
        <v>ano</v>
      </c>
    </row>
    <row r="23" spans="1:20" ht="18" customHeight="1" x14ac:dyDescent="0.25"/>
    <row r="24" spans="1:20" ht="18" customHeight="1" x14ac:dyDescent="0.25">
      <c r="Q24" s="39" t="s">
        <v>104</v>
      </c>
      <c r="R24" s="39"/>
      <c r="S24" s="39"/>
    </row>
    <row r="25" spans="1:20" ht="18" customHeight="1" x14ac:dyDescent="0.25">
      <c r="A25" s="10" t="s">
        <v>67</v>
      </c>
      <c r="Q25" s="38" t="s">
        <v>193</v>
      </c>
      <c r="R25" s="38"/>
      <c r="S25" s="38"/>
    </row>
    <row r="26" spans="1:20" ht="18" customHeight="1" x14ac:dyDescent="0.25">
      <c r="Q26" s="38"/>
      <c r="R26" s="38"/>
      <c r="S26" s="38"/>
    </row>
    <row r="27" spans="1:20" ht="18" customHeight="1" x14ac:dyDescent="0.25">
      <c r="Q27" s="38"/>
      <c r="R27" s="38"/>
      <c r="S27" s="38"/>
    </row>
    <row r="28" spans="1:20" ht="18" customHeight="1" x14ac:dyDescent="0.25">
      <c r="Q28" s="38"/>
      <c r="R28" s="38"/>
      <c r="S28" s="38"/>
    </row>
    <row r="29" spans="1:20" ht="18" customHeight="1" x14ac:dyDescent="0.25">
      <c r="A29" s="41" t="s">
        <v>158</v>
      </c>
      <c r="Q29" s="38"/>
      <c r="R29" s="38"/>
      <c r="S29" s="38"/>
    </row>
    <row r="30" spans="1:20" ht="18" customHeight="1" x14ac:dyDescent="0.25">
      <c r="A30" s="38"/>
      <c r="Q30" s="38"/>
      <c r="R30" s="38"/>
      <c r="S30" s="38"/>
    </row>
    <row r="31" spans="1:20" ht="18" customHeight="1" x14ac:dyDescent="0.25">
      <c r="A31" s="38"/>
      <c r="Q31" s="38"/>
      <c r="R31" s="38"/>
      <c r="S31" s="38"/>
    </row>
    <row r="32" spans="1:20" ht="18" customHeight="1" x14ac:dyDescent="0.25">
      <c r="Q32" s="38"/>
      <c r="R32" s="38"/>
      <c r="S32" s="38"/>
    </row>
    <row r="33" spans="1:19" ht="18" customHeight="1" x14ac:dyDescent="0.25">
      <c r="Q33" s="38"/>
      <c r="R33" s="38"/>
      <c r="S33" s="38"/>
    </row>
    <row r="34" spans="1:19" ht="18" customHeight="1" x14ac:dyDescent="0.25">
      <c r="Q34" s="38"/>
      <c r="R34" s="38"/>
      <c r="S34" s="38"/>
    </row>
    <row r="35" spans="1:19" ht="18" customHeight="1" x14ac:dyDescent="0.25">
      <c r="A35" s="41" t="s">
        <v>159</v>
      </c>
      <c r="Q35" s="38"/>
      <c r="R35" s="38"/>
      <c r="S35" s="38"/>
    </row>
    <row r="36" spans="1:19" ht="18" customHeight="1" x14ac:dyDescent="0.25">
      <c r="A36" s="38"/>
      <c r="Q36" s="38"/>
      <c r="R36" s="38"/>
      <c r="S36" s="38"/>
    </row>
    <row r="37" spans="1:19" ht="18" customHeight="1" x14ac:dyDescent="0.25">
      <c r="Q37" s="38"/>
      <c r="R37" s="38"/>
      <c r="S37" s="38"/>
    </row>
    <row r="38" spans="1:19" ht="18" customHeight="1" x14ac:dyDescent="0.25"/>
    <row r="39" spans="1:19" ht="18" customHeight="1" x14ac:dyDescent="0.25"/>
    <row r="40" spans="1:19" ht="18" customHeight="1" x14ac:dyDescent="0.25">
      <c r="A40" s="41" t="s">
        <v>121</v>
      </c>
    </row>
    <row r="41" spans="1:19" ht="18" customHeight="1" x14ac:dyDescent="0.25">
      <c r="A41" s="38"/>
    </row>
    <row r="42" spans="1:19" ht="18" customHeight="1" x14ac:dyDescent="0.25">
      <c r="A42" s="38"/>
    </row>
    <row r="43" spans="1:19" ht="18" customHeight="1" x14ac:dyDescent="0.25"/>
    <row r="44" spans="1:19" ht="18" customHeight="1" x14ac:dyDescent="0.25"/>
    <row r="45" spans="1:19" ht="18" customHeight="1" x14ac:dyDescent="0.25"/>
    <row r="46" spans="1:19" ht="18" customHeight="1" x14ac:dyDescent="0.25"/>
    <row r="47" spans="1:19" ht="18" customHeight="1" x14ac:dyDescent="0.25"/>
    <row r="48" spans="1:19"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9">
    <mergeCell ref="A40:A42"/>
    <mergeCell ref="Q24:S24"/>
    <mergeCell ref="Q25:S37"/>
    <mergeCell ref="A4:A6"/>
    <mergeCell ref="A8:A12"/>
    <mergeCell ref="A14:A19"/>
    <mergeCell ref="A21:A22"/>
    <mergeCell ref="A29:A31"/>
    <mergeCell ref="A35:A36"/>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1214-EF0E-419D-903B-B1341724F549}">
  <dimension ref="A1:U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9" width="12.625" customWidth="1"/>
    <col min="20" max="20" width="50.625" customWidth="1"/>
    <col min="21" max="21" width="13.625" customWidth="1"/>
  </cols>
  <sheetData>
    <row r="1" spans="1:21" ht="19.05" x14ac:dyDescent="0.25">
      <c r="A1" s="1" t="s">
        <v>194</v>
      </c>
    </row>
    <row r="2" spans="1:21" x14ac:dyDescent="0.25">
      <c r="A2" s="2" t="s">
        <v>195</v>
      </c>
    </row>
    <row r="3" spans="1:21" ht="31.95" customHeight="1" x14ac:dyDescent="0.25">
      <c r="A3" s="3" t="s">
        <v>49</v>
      </c>
      <c r="C3" s="3" t="s">
        <v>108</v>
      </c>
      <c r="D3" s="3" t="s">
        <v>196</v>
      </c>
      <c r="E3" s="3" t="s">
        <v>197</v>
      </c>
      <c r="G3" s="3" t="s">
        <v>53</v>
      </c>
      <c r="H3" s="3" t="s">
        <v>196</v>
      </c>
      <c r="I3" s="3" t="s">
        <v>197</v>
      </c>
      <c r="Q3" s="10" t="s">
        <v>55</v>
      </c>
      <c r="R3" s="10" t="s">
        <v>196</v>
      </c>
      <c r="S3" s="10" t="s">
        <v>197</v>
      </c>
      <c r="T3" s="10" t="s">
        <v>56</v>
      </c>
      <c r="U3" s="10" t="s">
        <v>57</v>
      </c>
    </row>
    <row r="4" spans="1:21" ht="18" customHeight="1" x14ac:dyDescent="0.25">
      <c r="A4" s="38" t="s">
        <v>198</v>
      </c>
      <c r="C4" t="s">
        <v>109</v>
      </c>
      <c r="D4">
        <v>25</v>
      </c>
      <c r="E4">
        <v>30</v>
      </c>
      <c r="G4" s="4" t="s">
        <v>201</v>
      </c>
      <c r="H4" s="12"/>
      <c r="I4" s="12"/>
      <c r="Q4" s="5" t="s">
        <v>207</v>
      </c>
      <c r="R4" s="18">
        <f>$E$4</f>
        <v>30</v>
      </c>
      <c r="S4" s="18">
        <f>$D$4</f>
        <v>25</v>
      </c>
      <c r="T4" s="5" t="s">
        <v>208</v>
      </c>
    </row>
    <row r="5" spans="1:21" ht="18" customHeight="1" x14ac:dyDescent="0.25">
      <c r="A5" s="38"/>
      <c r="C5" t="s">
        <v>110</v>
      </c>
      <c r="D5">
        <v>5</v>
      </c>
      <c r="E5">
        <v>10</v>
      </c>
      <c r="G5" s="4" t="s">
        <v>202</v>
      </c>
      <c r="H5" s="14"/>
      <c r="I5" s="14"/>
      <c r="Q5" s="5" t="s">
        <v>209</v>
      </c>
      <c r="R5" s="19">
        <f>($R$4-$D$4)/$D$5</f>
        <v>1</v>
      </c>
      <c r="S5" s="19">
        <f>($S$4-$E$4)/$E$5</f>
        <v>-0.5</v>
      </c>
      <c r="T5" s="5" t="s">
        <v>210</v>
      </c>
    </row>
    <row r="6" spans="1:21" ht="18" customHeight="1" x14ac:dyDescent="0.25">
      <c r="A6" s="38"/>
      <c r="G6" s="4" t="s">
        <v>203</v>
      </c>
      <c r="H6" s="25"/>
      <c r="I6" s="25"/>
      <c r="Q6" s="5" t="s">
        <v>211</v>
      </c>
      <c r="R6" s="27">
        <f>_xlfn.NORM.S.DIST($R$5,TRUE)</f>
        <v>0.84134474606854304</v>
      </c>
      <c r="S6" s="27">
        <f>_xlfn.NORM.S.DIST($S$5,TRUE)</f>
        <v>0.30853753872598688</v>
      </c>
      <c r="T6" s="5" t="s">
        <v>133</v>
      </c>
    </row>
    <row r="7" spans="1:21" ht="18" customHeight="1" x14ac:dyDescent="0.25">
      <c r="A7" s="38"/>
      <c r="G7" s="4" t="s">
        <v>204</v>
      </c>
      <c r="H7" s="25"/>
      <c r="I7" s="25"/>
      <c r="Q7" s="5" t="s">
        <v>212</v>
      </c>
      <c r="R7" s="27">
        <f>1-$R$6</f>
        <v>0.15865525393145696</v>
      </c>
      <c r="S7" s="27">
        <f>1-$S$6</f>
        <v>0.69146246127401312</v>
      </c>
      <c r="T7" s="5" t="s">
        <v>213</v>
      </c>
    </row>
    <row r="8" spans="1:21" ht="18" customHeight="1" x14ac:dyDescent="0.25">
      <c r="Q8" s="5" t="s">
        <v>214</v>
      </c>
      <c r="R8" s="27">
        <f>$R$7</f>
        <v>0.15865525393145696</v>
      </c>
      <c r="S8" s="27">
        <f>$S$6</f>
        <v>0.30853753872598688</v>
      </c>
      <c r="T8" s="5" t="s">
        <v>215</v>
      </c>
    </row>
    <row r="9" spans="1:21" ht="18" customHeight="1" x14ac:dyDescent="0.25">
      <c r="A9" s="38" t="s">
        <v>199</v>
      </c>
      <c r="Q9" s="20" t="s">
        <v>97</v>
      </c>
    </row>
    <row r="10" spans="1:21" ht="18" customHeight="1" x14ac:dyDescent="0.25">
      <c r="A10" s="38"/>
      <c r="Q10" s="5" t="s">
        <v>216</v>
      </c>
      <c r="R10" s="28">
        <f>_xlfn.NORM.DIST($E$4,$D$4,$D$5,TRUE)</f>
        <v>0.84134474606854304</v>
      </c>
      <c r="S10" s="28">
        <f>_xlfn.NORM.DIST($D$4,$E$4,$E$5,TRUE)</f>
        <v>0.30853753872598688</v>
      </c>
      <c r="T10" s="5" t="s">
        <v>217</v>
      </c>
      <c r="U10" s="23" t="str">
        <f>IF(AND(ABS(R10-$R$6)&lt;0.000001,ABS(S10-$S$6)&lt;0.000001),"ano","ne")</f>
        <v>ano</v>
      </c>
    </row>
    <row r="11" spans="1:21" ht="18" customHeight="1" x14ac:dyDescent="0.25">
      <c r="A11" s="38"/>
    </row>
    <row r="12" spans="1:21" ht="18" customHeight="1" x14ac:dyDescent="0.25">
      <c r="A12" s="38"/>
      <c r="Q12" s="39" t="s">
        <v>104</v>
      </c>
      <c r="R12" s="39"/>
      <c r="S12" s="39"/>
      <c r="T12" s="39"/>
    </row>
    <row r="13" spans="1:21" ht="18" customHeight="1" x14ac:dyDescent="0.25">
      <c r="A13" s="38"/>
      <c r="Q13" s="38" t="s">
        <v>218</v>
      </c>
      <c r="R13" s="38"/>
      <c r="S13" s="38"/>
      <c r="T13" s="38"/>
    </row>
    <row r="14" spans="1:21" ht="18" customHeight="1" x14ac:dyDescent="0.25">
      <c r="Q14" s="38"/>
      <c r="R14" s="38"/>
      <c r="S14" s="38"/>
      <c r="T14" s="38"/>
    </row>
    <row r="15" spans="1:21" ht="18" customHeight="1" x14ac:dyDescent="0.25">
      <c r="A15" s="40" t="s">
        <v>113</v>
      </c>
      <c r="Q15" s="38"/>
      <c r="R15" s="38"/>
      <c r="S15" s="38"/>
      <c r="T15" s="38"/>
    </row>
    <row r="16" spans="1:21" ht="18" customHeight="1" x14ac:dyDescent="0.25">
      <c r="A16" s="38"/>
      <c r="Q16" s="38"/>
      <c r="R16" s="38"/>
      <c r="S16" s="38"/>
      <c r="T16" s="38"/>
    </row>
    <row r="17" spans="1:20" ht="18" customHeight="1" x14ac:dyDescent="0.25">
      <c r="A17" s="38"/>
      <c r="Q17" s="38"/>
      <c r="R17" s="38"/>
      <c r="S17" s="38"/>
      <c r="T17" s="38"/>
    </row>
    <row r="18" spans="1:20" ht="18" customHeight="1" x14ac:dyDescent="0.25">
      <c r="A18" s="38"/>
      <c r="Q18" s="38"/>
      <c r="R18" s="38"/>
      <c r="S18" s="38"/>
      <c r="T18" s="38"/>
    </row>
    <row r="19" spans="1:20" ht="18" customHeight="1" x14ac:dyDescent="0.25">
      <c r="A19" s="38"/>
      <c r="Q19" s="38"/>
      <c r="R19" s="38"/>
      <c r="S19" s="38"/>
      <c r="T19" s="38"/>
    </row>
    <row r="20" spans="1:20" ht="18" customHeight="1" x14ac:dyDescent="0.25">
      <c r="A20" s="38"/>
      <c r="Q20" s="38"/>
      <c r="R20" s="38"/>
      <c r="S20" s="38"/>
      <c r="T20" s="38"/>
    </row>
    <row r="21" spans="1:20" ht="18" customHeight="1" x14ac:dyDescent="0.25">
      <c r="Q21" s="38"/>
      <c r="R21" s="38"/>
      <c r="S21" s="38"/>
      <c r="T21" s="38"/>
    </row>
    <row r="22" spans="1:20" ht="18" customHeight="1" x14ac:dyDescent="0.25">
      <c r="A22" s="41" t="s">
        <v>200</v>
      </c>
      <c r="Q22" s="38"/>
      <c r="R22" s="38"/>
      <c r="S22" s="38"/>
      <c r="T22" s="38"/>
    </row>
    <row r="23" spans="1:20" ht="18" customHeight="1" x14ac:dyDescent="0.25">
      <c r="A23" s="38"/>
      <c r="Q23" s="38"/>
      <c r="R23" s="38"/>
      <c r="S23" s="38"/>
      <c r="T23" s="38"/>
    </row>
    <row r="24" spans="1:20" ht="18" customHeight="1" x14ac:dyDescent="0.25">
      <c r="Q24" s="38"/>
      <c r="R24" s="38"/>
      <c r="S24" s="38"/>
      <c r="T24" s="38"/>
    </row>
    <row r="25" spans="1:20" ht="18" customHeight="1" x14ac:dyDescent="0.25">
      <c r="A25" s="10" t="s">
        <v>67</v>
      </c>
    </row>
    <row r="26" spans="1:20" ht="18" customHeight="1" x14ac:dyDescent="0.25"/>
    <row r="27" spans="1:20" ht="18" customHeight="1" x14ac:dyDescent="0.25"/>
    <row r="28" spans="1:20" ht="18" customHeight="1" x14ac:dyDescent="0.25"/>
    <row r="29" spans="1:20" ht="18" customHeight="1" x14ac:dyDescent="0.25">
      <c r="A29" s="41" t="s">
        <v>205</v>
      </c>
    </row>
    <row r="30" spans="1:20" ht="18" customHeight="1" x14ac:dyDescent="0.25">
      <c r="A30" s="38"/>
    </row>
    <row r="31" spans="1:20" ht="18" customHeight="1" x14ac:dyDescent="0.25">
      <c r="A31" s="38"/>
    </row>
    <row r="32" spans="1:20" ht="18" customHeight="1" x14ac:dyDescent="0.25">
      <c r="A32" s="38"/>
    </row>
    <row r="33" spans="1:1" ht="18" customHeight="1" x14ac:dyDescent="0.25"/>
    <row r="34" spans="1:1" ht="18" customHeight="1" x14ac:dyDescent="0.25"/>
    <row r="35" spans="1:1" ht="18" customHeight="1" x14ac:dyDescent="0.25"/>
    <row r="36" spans="1:1" ht="18" customHeight="1" x14ac:dyDescent="0.25">
      <c r="A36" s="11" t="s">
        <v>206</v>
      </c>
    </row>
    <row r="37" spans="1:1" ht="18" customHeight="1" x14ac:dyDescent="0.25"/>
    <row r="38" spans="1:1" ht="18" customHeight="1" x14ac:dyDescent="0.25"/>
    <row r="39" spans="1:1" ht="18" customHeight="1" x14ac:dyDescent="0.25"/>
    <row r="40" spans="1:1" ht="18" customHeight="1" x14ac:dyDescent="0.25"/>
    <row r="41" spans="1:1" ht="18" customHeight="1" x14ac:dyDescent="0.25"/>
    <row r="42" spans="1:1" ht="18" customHeight="1" x14ac:dyDescent="0.25"/>
    <row r="43" spans="1:1" ht="18" customHeight="1" x14ac:dyDescent="0.25"/>
    <row r="44" spans="1:1" ht="18" customHeight="1" x14ac:dyDescent="0.25"/>
    <row r="45" spans="1:1" ht="18" customHeight="1" x14ac:dyDescent="0.25"/>
    <row r="46" spans="1:1" ht="18" customHeight="1" x14ac:dyDescent="0.25"/>
    <row r="47" spans="1:1" ht="18" customHeight="1" x14ac:dyDescent="0.25"/>
    <row r="48" spans="1:1"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7">
    <mergeCell ref="Q12:T12"/>
    <mergeCell ref="Q13:T24"/>
    <mergeCell ref="A4:A7"/>
    <mergeCell ref="A9:A13"/>
    <mergeCell ref="A15:A20"/>
    <mergeCell ref="A22:A23"/>
    <mergeCell ref="A29:A32"/>
  </mergeCells>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D59F-F48B-4580-9256-FE873D4B0DEC}">
  <dimension ref="A1:T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8" width="12.625" customWidth="1"/>
    <col min="19" max="19" width="50.625" customWidth="1"/>
    <col min="20" max="20" width="13.625" customWidth="1"/>
  </cols>
  <sheetData>
    <row r="1" spans="1:20" ht="19.05" x14ac:dyDescent="0.25">
      <c r="A1" s="1" t="s">
        <v>219</v>
      </c>
    </row>
    <row r="2" spans="1:20" x14ac:dyDescent="0.25">
      <c r="A2" s="2" t="s">
        <v>220</v>
      </c>
    </row>
    <row r="3" spans="1:20" ht="31.95" customHeight="1" x14ac:dyDescent="0.25">
      <c r="A3" s="3" t="s">
        <v>49</v>
      </c>
      <c r="C3" s="3" t="s">
        <v>221</v>
      </c>
      <c r="D3" s="3" t="s">
        <v>51</v>
      </c>
      <c r="G3" s="3" t="s">
        <v>53</v>
      </c>
      <c r="H3" s="3" t="s">
        <v>54</v>
      </c>
      <c r="Q3" s="10" t="s">
        <v>55</v>
      </c>
      <c r="R3" s="10" t="s">
        <v>54</v>
      </c>
      <c r="S3" s="10" t="s">
        <v>56</v>
      </c>
      <c r="T3" s="10" t="s">
        <v>57</v>
      </c>
    </row>
    <row r="4" spans="1:20" ht="18" customHeight="1" x14ac:dyDescent="0.25">
      <c r="A4" s="38" t="s">
        <v>223</v>
      </c>
      <c r="C4" t="s">
        <v>109</v>
      </c>
      <c r="D4">
        <v>150</v>
      </c>
      <c r="G4" s="4" t="s">
        <v>226</v>
      </c>
      <c r="H4" s="13"/>
      <c r="Q4" s="5" t="s">
        <v>231</v>
      </c>
      <c r="R4" s="26">
        <f>_xlfn.NORM.S.INV($D$6)</f>
        <v>-1.2815515655446006</v>
      </c>
      <c r="S4" s="5" t="s">
        <v>232</v>
      </c>
    </row>
    <row r="5" spans="1:20" ht="18" customHeight="1" x14ac:dyDescent="0.25">
      <c r="A5" s="38"/>
      <c r="C5" t="s">
        <v>110</v>
      </c>
      <c r="D5">
        <v>30</v>
      </c>
      <c r="G5" s="4" t="s">
        <v>227</v>
      </c>
      <c r="H5" s="14"/>
      <c r="Q5" s="5" t="s">
        <v>233</v>
      </c>
      <c r="R5" s="21">
        <f>$D$4+$D$5*$R$4</f>
        <v>111.55345303366198</v>
      </c>
      <c r="S5" s="5" t="s">
        <v>234</v>
      </c>
    </row>
    <row r="6" spans="1:20" ht="18" customHeight="1" x14ac:dyDescent="0.25">
      <c r="A6" s="38"/>
      <c r="C6" t="s">
        <v>222</v>
      </c>
      <c r="D6" s="29">
        <v>0.1</v>
      </c>
      <c r="G6" s="4" t="s">
        <v>228</v>
      </c>
      <c r="H6" s="13"/>
      <c r="Q6" s="5" t="s">
        <v>235</v>
      </c>
      <c r="R6" s="26">
        <f>($R$5-$D$4)/$D$5</f>
        <v>-1.2815515655446006</v>
      </c>
      <c r="S6" s="5" t="s">
        <v>236</v>
      </c>
    </row>
    <row r="7" spans="1:20" ht="18" customHeight="1" x14ac:dyDescent="0.25">
      <c r="A7" s="38"/>
      <c r="Q7" s="5" t="s">
        <v>237</v>
      </c>
      <c r="R7" s="19">
        <f>_xlfn.NORM.S.DIST($R$6,TRUE)</f>
        <v>9.9999999999999978E-2</v>
      </c>
      <c r="S7" s="5" t="s">
        <v>135</v>
      </c>
    </row>
    <row r="8" spans="1:20" ht="18" customHeight="1" x14ac:dyDescent="0.25">
      <c r="A8" s="38"/>
      <c r="Q8" s="20" t="s">
        <v>97</v>
      </c>
    </row>
    <row r="9" spans="1:20" ht="18" customHeight="1" x14ac:dyDescent="0.25">
      <c r="Q9" s="5" t="s">
        <v>238</v>
      </c>
      <c r="R9" s="24">
        <f>_xlfn.NORM.INV($D$6,$D$4,$D$5)</f>
        <v>111.55345303366198</v>
      </c>
      <c r="S9" s="5" t="s">
        <v>239</v>
      </c>
      <c r="T9" s="23" t="str">
        <f>IF(ABS(R9-$R$5)&lt;0.000001,"ano","ne")</f>
        <v>ano</v>
      </c>
    </row>
    <row r="10" spans="1:20" ht="18" customHeight="1" x14ac:dyDescent="0.25">
      <c r="A10" s="38" t="s">
        <v>224</v>
      </c>
      <c r="Q10" s="5" t="s">
        <v>240</v>
      </c>
      <c r="R10" s="22">
        <f>$D$6</f>
        <v>0.1</v>
      </c>
      <c r="S10" s="5" t="s">
        <v>241</v>
      </c>
      <c r="T10" s="23" t="str">
        <f>IF(ABS(R10-$R$7)&lt;0.000001,"ano","ne")</f>
        <v>ano</v>
      </c>
    </row>
    <row r="11" spans="1:20" ht="18" customHeight="1" x14ac:dyDescent="0.25">
      <c r="A11" s="38"/>
    </row>
    <row r="12" spans="1:20" ht="18" customHeight="1" x14ac:dyDescent="0.25">
      <c r="A12" s="38"/>
      <c r="Q12" s="39" t="s">
        <v>104</v>
      </c>
      <c r="R12" s="39"/>
      <c r="S12" s="39"/>
    </row>
    <row r="13" spans="1:20" ht="18" customHeight="1" x14ac:dyDescent="0.25">
      <c r="Q13" s="38" t="s">
        <v>242</v>
      </c>
      <c r="R13" s="38"/>
      <c r="S13" s="38"/>
    </row>
    <row r="14" spans="1:20" ht="18" customHeight="1" x14ac:dyDescent="0.25">
      <c r="A14" s="40" t="s">
        <v>113</v>
      </c>
      <c r="Q14" s="38"/>
      <c r="R14" s="38"/>
      <c r="S14" s="38"/>
    </row>
    <row r="15" spans="1:20" ht="18" customHeight="1" x14ac:dyDescent="0.25">
      <c r="A15" s="38"/>
      <c r="Q15" s="38"/>
      <c r="R15" s="38"/>
      <c r="S15" s="38"/>
    </row>
    <row r="16" spans="1:20" ht="18" customHeight="1" x14ac:dyDescent="0.25">
      <c r="A16" s="38"/>
      <c r="Q16" s="38"/>
      <c r="R16" s="38"/>
      <c r="S16" s="38"/>
    </row>
    <row r="17" spans="1:19" ht="18" customHeight="1" x14ac:dyDescent="0.25">
      <c r="A17" s="38"/>
      <c r="Q17" s="38"/>
      <c r="R17" s="38"/>
      <c r="S17" s="38"/>
    </row>
    <row r="18" spans="1:19" ht="18" customHeight="1" x14ac:dyDescent="0.25">
      <c r="A18" s="38"/>
      <c r="Q18" s="38"/>
      <c r="R18" s="38"/>
      <c r="S18" s="38"/>
    </row>
    <row r="19" spans="1:19" ht="18" customHeight="1" x14ac:dyDescent="0.25">
      <c r="A19" s="38"/>
      <c r="Q19" s="38"/>
      <c r="R19" s="38"/>
      <c r="S19" s="38"/>
    </row>
    <row r="20" spans="1:19" ht="18" customHeight="1" x14ac:dyDescent="0.25">
      <c r="Q20" s="38"/>
      <c r="R20" s="38"/>
      <c r="S20" s="38"/>
    </row>
    <row r="21" spans="1:19" ht="18" customHeight="1" x14ac:dyDescent="0.25">
      <c r="A21" s="41" t="s">
        <v>225</v>
      </c>
      <c r="Q21" s="38"/>
      <c r="R21" s="38"/>
      <c r="S21" s="38"/>
    </row>
    <row r="22" spans="1:19" ht="18" customHeight="1" x14ac:dyDescent="0.25">
      <c r="A22" s="38"/>
      <c r="Q22" s="38"/>
      <c r="R22" s="38"/>
      <c r="S22" s="38"/>
    </row>
    <row r="23" spans="1:19" ht="18" customHeight="1" x14ac:dyDescent="0.25">
      <c r="Q23" s="38"/>
      <c r="R23" s="38"/>
      <c r="S23" s="38"/>
    </row>
    <row r="24" spans="1:19" ht="18" customHeight="1" x14ac:dyDescent="0.25"/>
    <row r="25" spans="1:19" ht="18" customHeight="1" x14ac:dyDescent="0.25">
      <c r="A25" s="10" t="s">
        <v>67</v>
      </c>
    </row>
    <row r="26" spans="1:19" ht="18" customHeight="1" x14ac:dyDescent="0.25"/>
    <row r="27" spans="1:19" ht="18" customHeight="1" x14ac:dyDescent="0.25"/>
    <row r="28" spans="1:19" ht="18" customHeight="1" x14ac:dyDescent="0.25">
      <c r="A28" s="41" t="s">
        <v>229</v>
      </c>
    </row>
    <row r="29" spans="1:19" ht="18" customHeight="1" x14ac:dyDescent="0.25">
      <c r="A29" s="38"/>
    </row>
    <row r="30" spans="1:19" ht="18" customHeight="1" x14ac:dyDescent="0.25"/>
    <row r="31" spans="1:19" ht="18" customHeight="1" x14ac:dyDescent="0.25"/>
    <row r="32" spans="1:19" ht="18" customHeight="1" x14ac:dyDescent="0.25"/>
    <row r="33" spans="1:1" ht="18" customHeight="1" x14ac:dyDescent="0.25">
      <c r="A33" s="41" t="s">
        <v>121</v>
      </c>
    </row>
    <row r="34" spans="1:1" ht="18" customHeight="1" x14ac:dyDescent="0.25">
      <c r="A34" s="38"/>
    </row>
    <row r="35" spans="1:1" ht="18" customHeight="1" x14ac:dyDescent="0.25">
      <c r="A35" s="38"/>
    </row>
    <row r="36" spans="1:1" ht="18" customHeight="1" x14ac:dyDescent="0.25"/>
    <row r="37" spans="1:1" ht="18" customHeight="1" x14ac:dyDescent="0.25"/>
    <row r="38" spans="1:1" ht="18" customHeight="1" x14ac:dyDescent="0.25"/>
    <row r="39" spans="1:1" ht="18" customHeight="1" x14ac:dyDescent="0.25"/>
    <row r="40" spans="1:1" ht="18" customHeight="1" x14ac:dyDescent="0.25">
      <c r="A40" s="41" t="s">
        <v>230</v>
      </c>
    </row>
    <row r="41" spans="1:1" ht="18" customHeight="1" x14ac:dyDescent="0.25">
      <c r="A41" s="38"/>
    </row>
    <row r="42" spans="1:1" ht="18" customHeight="1" x14ac:dyDescent="0.25"/>
    <row r="43" spans="1:1" ht="18" customHeight="1" x14ac:dyDescent="0.25"/>
    <row r="44" spans="1:1" ht="18" customHeight="1" x14ac:dyDescent="0.25"/>
    <row r="45" spans="1:1" ht="18" customHeight="1" x14ac:dyDescent="0.25"/>
    <row r="46" spans="1:1" ht="18" customHeight="1" x14ac:dyDescent="0.25"/>
    <row r="47" spans="1:1" ht="18" customHeight="1" x14ac:dyDescent="0.25"/>
    <row r="48" spans="1:1"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9">
    <mergeCell ref="A40:A41"/>
    <mergeCell ref="Q12:S12"/>
    <mergeCell ref="Q13:S23"/>
    <mergeCell ref="A4:A8"/>
    <mergeCell ref="A10:A12"/>
    <mergeCell ref="A14:A19"/>
    <mergeCell ref="A21:A22"/>
    <mergeCell ref="A28:A29"/>
    <mergeCell ref="A33:A35"/>
  </mergeCells>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E745-29DC-482D-8CC4-E1B35CC2D924}">
  <dimension ref="A1:U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9" width="12.625" customWidth="1"/>
    <col min="20" max="20" width="50.625" customWidth="1"/>
    <col min="21" max="21" width="13.625" customWidth="1"/>
  </cols>
  <sheetData>
    <row r="1" spans="1:21" ht="19.05" x14ac:dyDescent="0.25">
      <c r="A1" s="1" t="s">
        <v>243</v>
      </c>
    </row>
    <row r="2" spans="1:21" x14ac:dyDescent="0.25">
      <c r="A2" s="2" t="s">
        <v>244</v>
      </c>
    </row>
    <row r="3" spans="1:21" ht="31.95" customHeight="1" x14ac:dyDescent="0.25">
      <c r="A3" s="3" t="s">
        <v>49</v>
      </c>
      <c r="C3" s="3" t="s">
        <v>221</v>
      </c>
      <c r="D3" s="3" t="s">
        <v>245</v>
      </c>
      <c r="E3" s="3" t="s">
        <v>246</v>
      </c>
      <c r="G3" s="3" t="s">
        <v>53</v>
      </c>
      <c r="H3" s="3" t="s">
        <v>245</v>
      </c>
      <c r="I3" s="3" t="s">
        <v>246</v>
      </c>
      <c r="Q3" s="10" t="s">
        <v>55</v>
      </c>
      <c r="R3" s="10" t="s">
        <v>245</v>
      </c>
      <c r="S3" s="10" t="s">
        <v>246</v>
      </c>
      <c r="T3" s="10" t="s">
        <v>56</v>
      </c>
      <c r="U3" s="10" t="s">
        <v>57</v>
      </c>
    </row>
    <row r="4" spans="1:21" ht="18" customHeight="1" x14ac:dyDescent="0.25">
      <c r="A4" s="38" t="s">
        <v>248</v>
      </c>
      <c r="C4" t="s">
        <v>109</v>
      </c>
      <c r="D4">
        <v>489</v>
      </c>
      <c r="E4">
        <v>507</v>
      </c>
      <c r="G4" s="4" t="s">
        <v>251</v>
      </c>
      <c r="H4" s="13"/>
      <c r="I4" s="13"/>
      <c r="Q4" s="20" t="s">
        <v>256</v>
      </c>
    </row>
    <row r="5" spans="1:21" ht="18" customHeight="1" x14ac:dyDescent="0.25">
      <c r="A5" s="38"/>
      <c r="C5" t="s">
        <v>110</v>
      </c>
      <c r="D5">
        <v>126</v>
      </c>
      <c r="E5">
        <v>118</v>
      </c>
      <c r="G5" s="4" t="s">
        <v>252</v>
      </c>
      <c r="H5" s="30"/>
      <c r="I5" s="30"/>
      <c r="Q5" s="5" t="s">
        <v>257</v>
      </c>
      <c r="R5" s="19">
        <f>($D$6-$D$4)/$D$5</f>
        <v>0.88095238095238093</v>
      </c>
      <c r="S5" s="19">
        <f>($E$6-$E$4)/$E$5</f>
        <v>0.78813559322033899</v>
      </c>
      <c r="T5" s="5" t="s">
        <v>258</v>
      </c>
    </row>
    <row r="6" spans="1:21" ht="18" customHeight="1" x14ac:dyDescent="0.25">
      <c r="A6" s="38"/>
      <c r="C6" t="s">
        <v>247</v>
      </c>
      <c r="D6">
        <v>600</v>
      </c>
      <c r="E6">
        <v>600</v>
      </c>
      <c r="G6" s="4" t="s">
        <v>155</v>
      </c>
      <c r="H6" s="14"/>
      <c r="I6" s="14"/>
      <c r="Q6" s="5" t="s">
        <v>259</v>
      </c>
      <c r="R6" s="26">
        <f>_xlfn.NORM.S.DIST($R$5,TRUE)</f>
        <v>0.81082820280202816</v>
      </c>
      <c r="S6" s="26">
        <f>_xlfn.NORM.S.DIST($S$5,TRUE)</f>
        <v>0.78469130120046893</v>
      </c>
      <c r="T6" s="5" t="s">
        <v>133</v>
      </c>
    </row>
    <row r="7" spans="1:21" ht="18" customHeight="1" x14ac:dyDescent="0.25">
      <c r="A7" s="38"/>
      <c r="Q7" s="5" t="s">
        <v>260</v>
      </c>
      <c r="R7" s="31">
        <f>100*$R$6</f>
        <v>81.08282028020281</v>
      </c>
      <c r="S7" s="31">
        <f>100*$S$6</f>
        <v>78.469130120046898</v>
      </c>
      <c r="T7" s="5" t="s">
        <v>261</v>
      </c>
    </row>
    <row r="8" spans="1:21" ht="18" customHeight="1" x14ac:dyDescent="0.25">
      <c r="A8" s="38"/>
      <c r="Q8" s="20" t="s">
        <v>155</v>
      </c>
    </row>
    <row r="9" spans="1:21" ht="18" customHeight="1" x14ac:dyDescent="0.25">
      <c r="A9" s="38"/>
      <c r="Q9" s="5" t="s">
        <v>262</v>
      </c>
      <c r="R9" s="26">
        <f>_xlfn.NORM.S.INV(0.75)</f>
        <v>0.67448975019608193</v>
      </c>
      <c r="S9" s="26">
        <f>_xlfn.NORM.S.INV(0.75)</f>
        <v>0.67448975019608193</v>
      </c>
      <c r="T9" s="5" t="s">
        <v>263</v>
      </c>
    </row>
    <row r="10" spans="1:21" ht="18" customHeight="1" x14ac:dyDescent="0.25">
      <c r="Q10" s="5" t="s">
        <v>264</v>
      </c>
      <c r="R10" s="21">
        <f>$D$4+$D$5*$R$9</f>
        <v>573.9857085247063</v>
      </c>
      <c r="S10" s="21">
        <f>$E$4+$E$5*$S$9</f>
        <v>586.58979052313771</v>
      </c>
      <c r="T10" s="5" t="s">
        <v>265</v>
      </c>
    </row>
    <row r="11" spans="1:21" ht="18" customHeight="1" x14ac:dyDescent="0.25">
      <c r="A11" s="38" t="s">
        <v>249</v>
      </c>
      <c r="Q11" s="20" t="s">
        <v>97</v>
      </c>
    </row>
    <row r="12" spans="1:21" ht="18" customHeight="1" x14ac:dyDescent="0.25">
      <c r="A12" s="38"/>
      <c r="Q12" s="5" t="s">
        <v>266</v>
      </c>
      <c r="R12" s="32">
        <f>_xlfn.NORM.DIST($D$6,$D$4,$D$5,TRUE)</f>
        <v>0.81082820280202816</v>
      </c>
      <c r="S12" s="32">
        <f>_xlfn.NORM.DIST($E$6,$E$4,$E$5,TRUE)</f>
        <v>0.78469130120046893</v>
      </c>
      <c r="T12" s="5" t="s">
        <v>267</v>
      </c>
      <c r="U12" s="23" t="str">
        <f>IF(AND(ABS(R12-$R$6)&lt;0.000001,ABS(S12-$S$6)&lt;0.000001),"ano","ne")</f>
        <v>ano</v>
      </c>
    </row>
    <row r="13" spans="1:21" ht="18" customHeight="1" x14ac:dyDescent="0.25">
      <c r="A13" s="38"/>
      <c r="Q13" s="5" t="s">
        <v>238</v>
      </c>
      <c r="R13" s="24">
        <f>_xlfn.NORM.INV(0.75,$D$4,$D$5)</f>
        <v>573.9857085247063</v>
      </c>
      <c r="S13" s="24">
        <f>_xlfn.NORM.INV(0.75,$E$4,$E$5)</f>
        <v>586.58979052313771</v>
      </c>
      <c r="T13" s="5" t="s">
        <v>188</v>
      </c>
      <c r="U13" s="23" t="str">
        <f>IF(AND(ABS(R13-$R$10)&lt;0.000001,ABS(S13-$S$10)&lt;0.000001),"ano","ne")</f>
        <v>ano</v>
      </c>
    </row>
    <row r="14" spans="1:21" ht="18" customHeight="1" x14ac:dyDescent="0.25">
      <c r="A14" s="38"/>
    </row>
    <row r="15" spans="1:21" ht="18" customHeight="1" x14ac:dyDescent="0.25">
      <c r="Q15" s="39" t="s">
        <v>104</v>
      </c>
      <c r="R15" s="39"/>
      <c r="S15" s="39"/>
      <c r="T15" s="39"/>
    </row>
    <row r="16" spans="1:21" ht="18" customHeight="1" x14ac:dyDescent="0.25">
      <c r="A16" s="40" t="s">
        <v>113</v>
      </c>
      <c r="Q16" s="38" t="s">
        <v>268</v>
      </c>
      <c r="R16" s="38"/>
      <c r="S16" s="38"/>
      <c r="T16" s="38"/>
    </row>
    <row r="17" spans="1:20" ht="18" customHeight="1" x14ac:dyDescent="0.25">
      <c r="A17" s="38"/>
      <c r="Q17" s="38"/>
      <c r="R17" s="38"/>
      <c r="S17" s="38"/>
      <c r="T17" s="38"/>
    </row>
    <row r="18" spans="1:20" ht="18" customHeight="1" x14ac:dyDescent="0.25">
      <c r="A18" s="38"/>
      <c r="Q18" s="38"/>
      <c r="R18" s="38"/>
      <c r="S18" s="38"/>
      <c r="T18" s="38"/>
    </row>
    <row r="19" spans="1:20" ht="18" customHeight="1" x14ac:dyDescent="0.25">
      <c r="A19" s="38"/>
      <c r="Q19" s="38"/>
      <c r="R19" s="38"/>
      <c r="S19" s="38"/>
      <c r="T19" s="38"/>
    </row>
    <row r="20" spans="1:20" ht="18" customHeight="1" x14ac:dyDescent="0.25">
      <c r="A20" s="38"/>
      <c r="Q20" s="38"/>
      <c r="R20" s="38"/>
      <c r="S20" s="38"/>
      <c r="T20" s="38"/>
    </row>
    <row r="21" spans="1:20" ht="18" customHeight="1" x14ac:dyDescent="0.25">
      <c r="A21" s="38"/>
      <c r="Q21" s="38"/>
      <c r="R21" s="38"/>
      <c r="S21" s="38"/>
      <c r="T21" s="38"/>
    </row>
    <row r="22" spans="1:20" ht="18" customHeight="1" x14ac:dyDescent="0.25">
      <c r="Q22" s="38"/>
      <c r="R22" s="38"/>
      <c r="S22" s="38"/>
      <c r="T22" s="38"/>
    </row>
    <row r="23" spans="1:20" ht="18" customHeight="1" x14ac:dyDescent="0.25">
      <c r="A23" s="41" t="s">
        <v>250</v>
      </c>
      <c r="Q23" s="38"/>
      <c r="R23" s="38"/>
      <c r="S23" s="38"/>
      <c r="T23" s="38"/>
    </row>
    <row r="24" spans="1:20" ht="18" customHeight="1" x14ac:dyDescent="0.25">
      <c r="A24" s="38"/>
      <c r="Q24" s="38"/>
      <c r="R24" s="38"/>
      <c r="S24" s="38"/>
      <c r="T24" s="38"/>
    </row>
    <row r="25" spans="1:20" ht="18" customHeight="1" x14ac:dyDescent="0.25">
      <c r="A25" s="10" t="s">
        <v>67</v>
      </c>
      <c r="Q25" s="38"/>
      <c r="R25" s="38"/>
      <c r="S25" s="38"/>
      <c r="T25" s="38"/>
    </row>
    <row r="26" spans="1:20" ht="18" customHeight="1" x14ac:dyDescent="0.25">
      <c r="Q26" s="38"/>
      <c r="R26" s="38"/>
      <c r="S26" s="38"/>
      <c r="T26" s="38"/>
    </row>
    <row r="27" spans="1:20" ht="18" customHeight="1" x14ac:dyDescent="0.25">
      <c r="Q27" s="38"/>
      <c r="R27" s="38"/>
      <c r="S27" s="38"/>
      <c r="T27" s="38"/>
    </row>
    <row r="28" spans="1:20" ht="18" customHeight="1" x14ac:dyDescent="0.25">
      <c r="Q28" s="38"/>
      <c r="R28" s="38"/>
      <c r="S28" s="38"/>
      <c r="T28" s="38"/>
    </row>
    <row r="29" spans="1:20" ht="18" customHeight="1" x14ac:dyDescent="0.25">
      <c r="A29" s="41" t="s">
        <v>253</v>
      </c>
    </row>
    <row r="30" spans="1:20" ht="18" customHeight="1" x14ac:dyDescent="0.25">
      <c r="A30" s="38"/>
    </row>
    <row r="31" spans="1:20" ht="18" customHeight="1" x14ac:dyDescent="0.25">
      <c r="A31" s="38"/>
    </row>
    <row r="32" spans="1:20" ht="18" customHeight="1" x14ac:dyDescent="0.25"/>
    <row r="33" spans="1:1" ht="18" customHeight="1" x14ac:dyDescent="0.25"/>
    <row r="34" spans="1:1" ht="18" customHeight="1" x14ac:dyDescent="0.25"/>
    <row r="35" spans="1:1" ht="18" customHeight="1" x14ac:dyDescent="0.25">
      <c r="A35" s="41" t="s">
        <v>254</v>
      </c>
    </row>
    <row r="36" spans="1:1" ht="18" customHeight="1" x14ac:dyDescent="0.25">
      <c r="A36" s="38"/>
    </row>
    <row r="37" spans="1:1" ht="18" customHeight="1" x14ac:dyDescent="0.25"/>
    <row r="38" spans="1:1" ht="18" customHeight="1" x14ac:dyDescent="0.25"/>
    <row r="39" spans="1:1" ht="18" customHeight="1" x14ac:dyDescent="0.25"/>
    <row r="40" spans="1:1" ht="18" customHeight="1" x14ac:dyDescent="0.25">
      <c r="A40" s="41" t="s">
        <v>255</v>
      </c>
    </row>
    <row r="41" spans="1:1" ht="18" customHeight="1" x14ac:dyDescent="0.25">
      <c r="A41" s="38"/>
    </row>
    <row r="42" spans="1:1" ht="18" customHeight="1" x14ac:dyDescent="0.25"/>
    <row r="43" spans="1:1" ht="18" customHeight="1" x14ac:dyDescent="0.25"/>
    <row r="44" spans="1:1" ht="18" customHeight="1" x14ac:dyDescent="0.25"/>
    <row r="45" spans="1:1" ht="18" customHeight="1" x14ac:dyDescent="0.25"/>
    <row r="46" spans="1:1" ht="18" customHeight="1" x14ac:dyDescent="0.25"/>
    <row r="47" spans="1:1" ht="18" customHeight="1" x14ac:dyDescent="0.25"/>
    <row r="48" spans="1:1"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9">
    <mergeCell ref="A40:A41"/>
    <mergeCell ref="Q15:T15"/>
    <mergeCell ref="Q16:T28"/>
    <mergeCell ref="A4:A9"/>
    <mergeCell ref="A11:A14"/>
    <mergeCell ref="A16:A21"/>
    <mergeCell ref="A23:A24"/>
    <mergeCell ref="A29:A31"/>
    <mergeCell ref="A35:A36"/>
  </mergeCells>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5877-F6F7-4D2C-8B1B-854B975CE4B4}">
  <dimension ref="A1:X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26.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22" width="12.625" customWidth="1"/>
    <col min="23" max="23" width="50.625" customWidth="1"/>
    <col min="24" max="24" width="13.625" customWidth="1"/>
  </cols>
  <sheetData>
    <row r="1" spans="1:24" ht="19.05" x14ac:dyDescent="0.25">
      <c r="A1" s="1" t="s">
        <v>269</v>
      </c>
    </row>
    <row r="2" spans="1:24" x14ac:dyDescent="0.25">
      <c r="A2" s="2" t="s">
        <v>270</v>
      </c>
    </row>
    <row r="3" spans="1:24" ht="31.95" customHeight="1" x14ac:dyDescent="0.25">
      <c r="A3" s="3" t="s">
        <v>49</v>
      </c>
      <c r="C3" s="3" t="s">
        <v>221</v>
      </c>
      <c r="D3" s="3" t="s">
        <v>51</v>
      </c>
      <c r="G3" s="3" t="s">
        <v>53</v>
      </c>
      <c r="H3" s="3" t="s">
        <v>54</v>
      </c>
      <c r="K3" s="10" t="s">
        <v>291</v>
      </c>
      <c r="L3" s="10" t="s">
        <v>292</v>
      </c>
      <c r="Q3" s="10" t="s">
        <v>55</v>
      </c>
      <c r="R3" s="10" t="s">
        <v>271</v>
      </c>
      <c r="S3" s="10" t="s">
        <v>272</v>
      </c>
      <c r="T3" s="10" t="s">
        <v>273</v>
      </c>
      <c r="U3" s="10" t="s">
        <v>274</v>
      </c>
      <c r="V3" s="10" t="s">
        <v>275</v>
      </c>
      <c r="W3" s="10" t="s">
        <v>56</v>
      </c>
      <c r="X3" s="10" t="s">
        <v>57</v>
      </c>
    </row>
    <row r="4" spans="1:24" ht="18" customHeight="1" x14ac:dyDescent="0.25">
      <c r="A4" s="38" t="s">
        <v>281</v>
      </c>
      <c r="C4" t="s">
        <v>276</v>
      </c>
      <c r="D4">
        <v>35</v>
      </c>
      <c r="G4" s="4" t="s">
        <v>284</v>
      </c>
      <c r="H4" s="14"/>
      <c r="K4" s="33">
        <f>-2+0.5*(4-4)</f>
        <v>-2</v>
      </c>
      <c r="L4" s="33">
        <f>-1.75+0.5*(4-4)</f>
        <v>-1.75</v>
      </c>
      <c r="Q4" s="20" t="s">
        <v>293</v>
      </c>
    </row>
    <row r="5" spans="1:24" ht="18" customHeight="1" x14ac:dyDescent="0.25">
      <c r="A5" s="38"/>
      <c r="C5" t="s">
        <v>277</v>
      </c>
      <c r="D5">
        <v>50</v>
      </c>
      <c r="G5" s="4" t="s">
        <v>226</v>
      </c>
      <c r="H5" s="13"/>
      <c r="K5" s="33">
        <f>-2+0.5*(5-4)</f>
        <v>-1.5</v>
      </c>
      <c r="L5" s="33">
        <f>-1.75+0.5*(5-4)</f>
        <v>-1.25</v>
      </c>
      <c r="Q5" s="5" t="s">
        <v>294</v>
      </c>
      <c r="R5" s="19">
        <f>($D$4-50)/10</f>
        <v>-1.5</v>
      </c>
      <c r="S5" s="19">
        <f>($D$5-50)/10</f>
        <v>0</v>
      </c>
      <c r="T5" s="19">
        <f>($D$6-50)/10</f>
        <v>0.8</v>
      </c>
      <c r="U5" s="19">
        <f>($D$7-50)/10</f>
        <v>1.5</v>
      </c>
      <c r="V5" s="19">
        <f>_xlfn.NORM.S.INV($D$8)</f>
        <v>2.0537489106318221</v>
      </c>
      <c r="W5" s="5" t="s">
        <v>295</v>
      </c>
    </row>
    <row r="6" spans="1:24" ht="18" customHeight="1" x14ac:dyDescent="0.25">
      <c r="A6" s="38"/>
      <c r="C6" t="s">
        <v>278</v>
      </c>
      <c r="D6">
        <v>58</v>
      </c>
      <c r="G6" s="4" t="s">
        <v>285</v>
      </c>
      <c r="H6" s="12"/>
      <c r="K6" s="33">
        <f>-2+0.5*(6-4)</f>
        <v>-1</v>
      </c>
      <c r="L6" s="33">
        <f>-1.75+0.5*(6-4)</f>
        <v>-0.75</v>
      </c>
      <c r="Q6" s="5" t="s">
        <v>296</v>
      </c>
      <c r="R6" s="21">
        <f>50+10*$R$5</f>
        <v>35</v>
      </c>
      <c r="S6" s="21">
        <f>50+10*$S$5</f>
        <v>50</v>
      </c>
      <c r="T6" s="21">
        <f>50+10*$T$5</f>
        <v>58</v>
      </c>
      <c r="U6" s="21">
        <f>50+10*$U$5</f>
        <v>65</v>
      </c>
      <c r="V6" s="21">
        <f>50+10*$V$5</f>
        <v>70.537489106318219</v>
      </c>
      <c r="W6" s="5" t="s">
        <v>297</v>
      </c>
    </row>
    <row r="7" spans="1:24" ht="18" customHeight="1" x14ac:dyDescent="0.25">
      <c r="A7" s="38"/>
      <c r="C7" t="s">
        <v>279</v>
      </c>
      <c r="D7">
        <v>65</v>
      </c>
      <c r="G7" s="4" t="s">
        <v>286</v>
      </c>
      <c r="H7" s="12"/>
      <c r="K7" s="33">
        <f>-2+0.5*(7-4)</f>
        <v>-0.5</v>
      </c>
      <c r="L7" s="33">
        <f>-1.75+0.5*(7-4)</f>
        <v>-0.25</v>
      </c>
      <c r="Q7" s="20" t="s">
        <v>298</v>
      </c>
    </row>
    <row r="8" spans="1:24" ht="18" customHeight="1" x14ac:dyDescent="0.25">
      <c r="C8" t="s">
        <v>280</v>
      </c>
      <c r="D8" s="29">
        <v>0.98</v>
      </c>
      <c r="K8" s="33">
        <f>-2+0.5*(8-4)</f>
        <v>0</v>
      </c>
      <c r="L8" s="33">
        <f>-1.75+0.5*(8-4)</f>
        <v>0.25</v>
      </c>
      <c r="Q8" s="5" t="s">
        <v>299</v>
      </c>
      <c r="R8" s="21">
        <f>100+15*$R$5</f>
        <v>77.5</v>
      </c>
      <c r="S8" s="21">
        <f>100+15*$S$5</f>
        <v>100</v>
      </c>
      <c r="T8" s="21">
        <f>100+15*$T$5</f>
        <v>112</v>
      </c>
      <c r="U8" s="21">
        <f>100+15*$U$5</f>
        <v>122.5</v>
      </c>
      <c r="V8" s="21">
        <f>100+15*$V$5</f>
        <v>130.80623365947733</v>
      </c>
      <c r="W8" s="5" t="s">
        <v>300</v>
      </c>
    </row>
    <row r="9" spans="1:24" ht="18" customHeight="1" x14ac:dyDescent="0.25">
      <c r="A9" s="38" t="s">
        <v>282</v>
      </c>
      <c r="K9" s="33">
        <f>-2+0.5*(9-4)</f>
        <v>0.5</v>
      </c>
      <c r="L9" s="33">
        <f>-1.75+0.5*(9-4)</f>
        <v>0.75</v>
      </c>
      <c r="Q9" s="5" t="s">
        <v>301</v>
      </c>
      <c r="R9" s="21">
        <f>10+3*$R$5</f>
        <v>5.5</v>
      </c>
      <c r="S9" s="21">
        <f>10+3*$S$5</f>
        <v>10</v>
      </c>
      <c r="T9" s="21">
        <f>10+3*$T$5</f>
        <v>12.4</v>
      </c>
      <c r="U9" s="21">
        <f>10+3*$U$5</f>
        <v>14.5</v>
      </c>
      <c r="V9" s="21">
        <f>10+3*$V$5</f>
        <v>16.161246731895467</v>
      </c>
      <c r="W9" s="5" t="s">
        <v>302</v>
      </c>
    </row>
    <row r="10" spans="1:24" ht="18" customHeight="1" x14ac:dyDescent="0.25">
      <c r="A10" s="38"/>
      <c r="K10" s="33">
        <f>-2+0.5*(10-4)</f>
        <v>1</v>
      </c>
      <c r="L10" s="33">
        <f>-1.75+0.5*(10-4)</f>
        <v>1.25</v>
      </c>
      <c r="Q10" s="20" t="s">
        <v>303</v>
      </c>
    </row>
    <row r="11" spans="1:24" ht="18" customHeight="1" x14ac:dyDescent="0.25">
      <c r="A11" s="38"/>
      <c r="K11" s="33">
        <f>-2+0.5*(11-4)</f>
        <v>1.5</v>
      </c>
      <c r="L11" s="33">
        <f>-1.75+0.5*(11-4)</f>
        <v>1.75</v>
      </c>
      <c r="Q11" s="5" t="s">
        <v>304</v>
      </c>
      <c r="R11" s="21">
        <f>5.5+2*$R$5</f>
        <v>2.5</v>
      </c>
      <c r="S11" s="21">
        <f>5.5+2*$S$5</f>
        <v>5.5</v>
      </c>
      <c r="T11" s="21">
        <f>5.5+2*$T$5</f>
        <v>7.1</v>
      </c>
      <c r="U11" s="21">
        <f>5.5+2*$U$5</f>
        <v>8.5</v>
      </c>
      <c r="V11" s="21">
        <f>5.5+2*$V$5</f>
        <v>9.6074978212636442</v>
      </c>
      <c r="W11" s="5" t="s">
        <v>305</v>
      </c>
    </row>
    <row r="12" spans="1:24" ht="18" customHeight="1" x14ac:dyDescent="0.25">
      <c r="A12" s="38"/>
      <c r="K12" s="33">
        <f>-2+0.5*(12-4)</f>
        <v>2</v>
      </c>
      <c r="L12" s="33" t="str">
        <f>""</f>
        <v/>
      </c>
      <c r="Q12" s="5" t="s">
        <v>306</v>
      </c>
      <c r="R12" s="34">
        <f>MIN(10,MAX(1,-INT(0.5-$R$11)))</f>
        <v>2</v>
      </c>
      <c r="S12" s="34">
        <f>MIN(10,MAX(1,-INT(0.5-$S$11)))</f>
        <v>5</v>
      </c>
      <c r="T12" s="34">
        <f>MIN(10,MAX(1,-INT(0.5-$T$11)))</f>
        <v>7</v>
      </c>
      <c r="U12" s="34">
        <f>MIN(10,MAX(1,-INT(0.5-$U$11)))</f>
        <v>8</v>
      </c>
      <c r="V12" s="34">
        <f>MIN(10,MAX(1,-INT(0.5-$V$11)))</f>
        <v>10</v>
      </c>
      <c r="W12" s="5" t="s">
        <v>307</v>
      </c>
    </row>
    <row r="13" spans="1:24" ht="18" customHeight="1" x14ac:dyDescent="0.25">
      <c r="A13" s="38"/>
      <c r="Q13" s="5" t="s">
        <v>308</v>
      </c>
      <c r="R13" s="21">
        <f>5+2*$R$5</f>
        <v>2</v>
      </c>
      <c r="S13" s="21">
        <f>5+2*$S$5</f>
        <v>5</v>
      </c>
      <c r="T13" s="21">
        <f>5+2*$T$5</f>
        <v>6.6</v>
      </c>
      <c r="U13" s="21">
        <f>5+2*$U$5</f>
        <v>8</v>
      </c>
      <c r="V13" s="21">
        <f>5+2*$V$5</f>
        <v>9.1074978212636442</v>
      </c>
      <c r="W13" s="5" t="s">
        <v>309</v>
      </c>
    </row>
    <row r="14" spans="1:24" ht="18" customHeight="1" x14ac:dyDescent="0.25">
      <c r="A14" s="38"/>
      <c r="Q14" s="5" t="s">
        <v>310</v>
      </c>
      <c r="R14" s="34">
        <f>MIN(9,MAX(1,-INT(0.5-$R$13)))</f>
        <v>2</v>
      </c>
      <c r="S14" s="34">
        <f>MIN(9,MAX(1,-INT(0.5-$S$13)))</f>
        <v>5</v>
      </c>
      <c r="T14" s="34">
        <f>MIN(9,MAX(1,-INT(0.5-$T$13)))</f>
        <v>7</v>
      </c>
      <c r="U14" s="34">
        <f>MIN(9,MAX(1,-INT(0.5-$U$13)))</f>
        <v>8</v>
      </c>
      <c r="V14" s="34">
        <f>MIN(9,MAX(1,-INT(0.5-$V$13)))</f>
        <v>9</v>
      </c>
      <c r="W14" s="5" t="s">
        <v>311</v>
      </c>
    </row>
    <row r="15" spans="1:24" ht="18" customHeight="1" x14ac:dyDescent="0.25">
      <c r="Q15" s="20" t="s">
        <v>312</v>
      </c>
    </row>
    <row r="16" spans="1:24" ht="18" customHeight="1" x14ac:dyDescent="0.25">
      <c r="A16" s="40" t="s">
        <v>113</v>
      </c>
      <c r="Q16" s="5" t="s">
        <v>313</v>
      </c>
      <c r="R16" s="31">
        <f>100*_xlfn.NORM.S.DIST($R$5,TRUE)</f>
        <v>6.6807201268858059</v>
      </c>
      <c r="S16" s="31">
        <f>100*_xlfn.NORM.S.DIST($S$5,TRUE)</f>
        <v>50</v>
      </c>
      <c r="T16" s="31">
        <f>100*_xlfn.NORM.S.DIST($T$5,TRUE)</f>
        <v>78.814460141660334</v>
      </c>
      <c r="U16" s="31">
        <f>100*_xlfn.NORM.S.DIST($U$5,TRUE)</f>
        <v>93.319279873114198</v>
      </c>
      <c r="V16" s="31">
        <f>100*_xlfn.NORM.S.DIST($V$5,TRUE)</f>
        <v>98</v>
      </c>
      <c r="W16" s="5" t="s">
        <v>314</v>
      </c>
    </row>
    <row r="17" spans="1:24" ht="18" customHeight="1" x14ac:dyDescent="0.25">
      <c r="A17" s="38"/>
      <c r="Q17" s="20" t="s">
        <v>315</v>
      </c>
    </row>
    <row r="18" spans="1:24" ht="18" customHeight="1" x14ac:dyDescent="0.25">
      <c r="A18" s="38"/>
      <c r="Q18" s="5" t="s">
        <v>316</v>
      </c>
      <c r="R18" s="24">
        <f>$D$4</f>
        <v>35</v>
      </c>
      <c r="S18" s="24">
        <f>$D$5</f>
        <v>50</v>
      </c>
      <c r="T18" s="24">
        <f>$D$6</f>
        <v>58</v>
      </c>
      <c r="U18" s="24">
        <f>$D$7</f>
        <v>65</v>
      </c>
      <c r="V18" s="24">
        <f>_xlfn.NORM.INV($D$8,50,10)</f>
        <v>70.537489106318219</v>
      </c>
      <c r="W18" s="5" t="s">
        <v>317</v>
      </c>
      <c r="X18" s="23" t="str">
        <f>IF(AND(ABS(R18-$R$6)&lt;0.000001,ABS(S18-$S$6)&lt;0.000001,ABS(T18-$T$6)&lt;0.000001,ABS(U18-$U$6)&lt;0.000001,ABS(V18-$V$6)&lt;0.000001),"ano","ne")</f>
        <v>ano</v>
      </c>
    </row>
    <row r="19" spans="1:24" ht="18" customHeight="1" x14ac:dyDescent="0.25">
      <c r="A19" s="38"/>
      <c r="Q19" s="5" t="s">
        <v>318</v>
      </c>
      <c r="R19" s="35">
        <f>1+COUNTIFS($K$4:$K$12,"&lt;"&amp;$R$5)</f>
        <v>2</v>
      </c>
      <c r="S19" s="35">
        <f>1+COUNTIFS($K$4:$K$12,"&lt;"&amp;$S$5)</f>
        <v>5</v>
      </c>
      <c r="T19" s="35">
        <f>1+COUNTIFS($K$4:$K$12,"&lt;"&amp;$T$5)</f>
        <v>7</v>
      </c>
      <c r="U19" s="35">
        <f>1+COUNTIFS($K$4:$K$12,"&lt;"&amp;$U$5)</f>
        <v>8</v>
      </c>
      <c r="V19" s="35">
        <f>1+COUNTIFS($K$4:$K$12,"&lt;"&amp;$V$5)</f>
        <v>10</v>
      </c>
      <c r="W19" s="5" t="s">
        <v>319</v>
      </c>
      <c r="X19" s="23" t="str">
        <f>IF(AND(ABS(R19-$R$12)&lt;0.000001,ABS(S19-$S$12)&lt;0.000001,ABS(T19-$T$12)&lt;0.000001,ABS(U19-$U$12)&lt;0.000001,ABS(V19-$V$12)&lt;0.000001),"ano","ne")</f>
        <v>ano</v>
      </c>
    </row>
    <row r="20" spans="1:24" ht="18" customHeight="1" x14ac:dyDescent="0.25">
      <c r="A20" s="38"/>
      <c r="Q20" s="5" t="s">
        <v>320</v>
      </c>
      <c r="R20" s="35">
        <f>1+COUNTIFS($L$4:$L$11,"&lt;"&amp;$R$5)</f>
        <v>2</v>
      </c>
      <c r="S20" s="35">
        <f>1+COUNTIFS($L$4:$L$11,"&lt;"&amp;$S$5)</f>
        <v>5</v>
      </c>
      <c r="T20" s="35">
        <f>1+COUNTIFS($L$4:$L$11,"&lt;"&amp;$T$5)</f>
        <v>7</v>
      </c>
      <c r="U20" s="35">
        <f>1+COUNTIFS($L$4:$L$11,"&lt;"&amp;$U$5)</f>
        <v>8</v>
      </c>
      <c r="V20" s="35">
        <f>1+COUNTIFS($L$4:$L$11,"&lt;"&amp;$V$5)</f>
        <v>9</v>
      </c>
      <c r="W20" s="5" t="s">
        <v>321</v>
      </c>
      <c r="X20" s="23" t="str">
        <f>IF(AND(ABS(R20-$R$14)&lt;0.000001,ABS(S20-$S$14)&lt;0.000001,ABS(T20-$T$14)&lt;0.000001,ABS(U20-$U$14)&lt;0.000001,ABS(V20-$V$14)&lt;0.000001),"ano","ne")</f>
        <v>ano</v>
      </c>
    </row>
    <row r="21" spans="1:24" ht="18" customHeight="1" x14ac:dyDescent="0.25">
      <c r="A21" s="38"/>
    </row>
    <row r="22" spans="1:24" ht="18" customHeight="1" x14ac:dyDescent="0.25">
      <c r="Q22" s="39" t="s">
        <v>104</v>
      </c>
      <c r="R22" s="39"/>
      <c r="S22" s="39"/>
      <c r="T22" s="39"/>
      <c r="U22" s="39"/>
      <c r="V22" s="39"/>
      <c r="W22" s="39"/>
    </row>
    <row r="23" spans="1:24" ht="18" customHeight="1" x14ac:dyDescent="0.25">
      <c r="A23" s="41" t="s">
        <v>283</v>
      </c>
      <c r="Q23" s="38" t="s">
        <v>322</v>
      </c>
      <c r="R23" s="38"/>
      <c r="S23" s="38"/>
      <c r="T23" s="38"/>
      <c r="U23" s="38"/>
      <c r="V23" s="38"/>
      <c r="W23" s="38"/>
    </row>
    <row r="24" spans="1:24" ht="18" customHeight="1" x14ac:dyDescent="0.25">
      <c r="A24" s="38"/>
      <c r="Q24" s="38"/>
      <c r="R24" s="38"/>
      <c r="S24" s="38"/>
      <c r="T24" s="38"/>
      <c r="U24" s="38"/>
      <c r="V24" s="38"/>
      <c r="W24" s="38"/>
    </row>
    <row r="25" spans="1:24" ht="18" customHeight="1" x14ac:dyDescent="0.25">
      <c r="A25" s="10" t="s">
        <v>67</v>
      </c>
      <c r="Q25" s="38"/>
      <c r="R25" s="38"/>
      <c r="S25" s="38"/>
      <c r="T25" s="38"/>
      <c r="U25" s="38"/>
      <c r="V25" s="38"/>
      <c r="W25" s="38"/>
    </row>
    <row r="26" spans="1:24" ht="18" customHeight="1" x14ac:dyDescent="0.25">
      <c r="Q26" s="38"/>
      <c r="R26" s="38"/>
      <c r="S26" s="38"/>
      <c r="T26" s="38"/>
      <c r="U26" s="38"/>
      <c r="V26" s="38"/>
      <c r="W26" s="38"/>
    </row>
    <row r="27" spans="1:24" ht="18" customHeight="1" x14ac:dyDescent="0.25">
      <c r="Q27" s="38"/>
      <c r="R27" s="38"/>
      <c r="S27" s="38"/>
      <c r="T27" s="38"/>
      <c r="U27" s="38"/>
      <c r="V27" s="38"/>
      <c r="W27" s="38"/>
    </row>
    <row r="28" spans="1:24" ht="18" customHeight="1" x14ac:dyDescent="0.25">
      <c r="Q28" s="38"/>
      <c r="R28" s="38"/>
      <c r="S28" s="38"/>
      <c r="T28" s="38"/>
      <c r="U28" s="38"/>
      <c r="V28" s="38"/>
      <c r="W28" s="38"/>
    </row>
    <row r="29" spans="1:24" ht="18" customHeight="1" x14ac:dyDescent="0.25">
      <c r="A29" s="41" t="s">
        <v>287</v>
      </c>
      <c r="Q29" s="38"/>
      <c r="R29" s="38"/>
      <c r="S29" s="38"/>
      <c r="T29" s="38"/>
      <c r="U29" s="38"/>
      <c r="V29" s="38"/>
      <c r="W29" s="38"/>
    </row>
    <row r="30" spans="1:24" ht="18" customHeight="1" x14ac:dyDescent="0.25">
      <c r="A30" s="38"/>
      <c r="Q30" s="38"/>
      <c r="R30" s="38"/>
      <c r="S30" s="38"/>
      <c r="T30" s="38"/>
      <c r="U30" s="38"/>
      <c r="V30" s="38"/>
      <c r="W30" s="38"/>
    </row>
    <row r="31" spans="1:24" ht="18" customHeight="1" x14ac:dyDescent="0.25">
      <c r="Q31" s="38"/>
      <c r="R31" s="38"/>
      <c r="S31" s="38"/>
      <c r="T31" s="38"/>
      <c r="U31" s="38"/>
      <c r="V31" s="38"/>
      <c r="W31" s="38"/>
    </row>
    <row r="32" spans="1:24" ht="18" customHeight="1" x14ac:dyDescent="0.25">
      <c r="Q32" s="38"/>
      <c r="R32" s="38"/>
      <c r="S32" s="38"/>
      <c r="T32" s="38"/>
      <c r="U32" s="38"/>
      <c r="V32" s="38"/>
      <c r="W32" s="38"/>
    </row>
    <row r="33" spans="1:23" ht="18" customHeight="1" x14ac:dyDescent="0.25">
      <c r="Q33" s="38"/>
      <c r="R33" s="38"/>
      <c r="S33" s="38"/>
      <c r="T33" s="38"/>
      <c r="U33" s="38"/>
      <c r="V33" s="38"/>
      <c r="W33" s="38"/>
    </row>
    <row r="34" spans="1:23" ht="18" customHeight="1" x14ac:dyDescent="0.25">
      <c r="Q34" s="38"/>
      <c r="R34" s="38"/>
      <c r="S34" s="38"/>
      <c r="T34" s="38"/>
      <c r="U34" s="38"/>
      <c r="V34" s="38"/>
      <c r="W34" s="38"/>
    </row>
    <row r="35" spans="1:23" ht="18" customHeight="1" x14ac:dyDescent="0.25">
      <c r="A35" s="41" t="s">
        <v>288</v>
      </c>
      <c r="Q35" s="38"/>
      <c r="R35" s="38"/>
      <c r="S35" s="38"/>
      <c r="T35" s="38"/>
      <c r="U35" s="38"/>
      <c r="V35" s="38"/>
      <c r="W35" s="38"/>
    </row>
    <row r="36" spans="1:23" ht="18" customHeight="1" x14ac:dyDescent="0.25">
      <c r="A36" s="38"/>
      <c r="Q36" s="38"/>
      <c r="R36" s="38"/>
      <c r="S36" s="38"/>
      <c r="T36" s="38"/>
      <c r="U36" s="38"/>
      <c r="V36" s="38"/>
      <c r="W36" s="38"/>
    </row>
    <row r="37" spans="1:23" ht="18" customHeight="1" x14ac:dyDescent="0.25">
      <c r="Q37" s="38"/>
      <c r="R37" s="38"/>
      <c r="S37" s="38"/>
      <c r="T37" s="38"/>
      <c r="U37" s="38"/>
      <c r="V37" s="38"/>
      <c r="W37" s="38"/>
    </row>
    <row r="38" spans="1:23" ht="18" customHeight="1" x14ac:dyDescent="0.25">
      <c r="Q38" s="38"/>
      <c r="R38" s="38"/>
      <c r="S38" s="38"/>
      <c r="T38" s="38"/>
      <c r="U38" s="38"/>
      <c r="V38" s="38"/>
      <c r="W38" s="38"/>
    </row>
    <row r="39" spans="1:23" ht="18" customHeight="1" x14ac:dyDescent="0.25"/>
    <row r="40" spans="1:23" ht="18" customHeight="1" x14ac:dyDescent="0.25"/>
    <row r="41" spans="1:23" ht="18" customHeight="1" x14ac:dyDescent="0.25">
      <c r="A41" s="41" t="s">
        <v>289</v>
      </c>
    </row>
    <row r="42" spans="1:23" ht="18" customHeight="1" x14ac:dyDescent="0.25">
      <c r="A42" s="38"/>
    </row>
    <row r="43" spans="1:23" ht="18" customHeight="1" x14ac:dyDescent="0.25"/>
    <row r="44" spans="1:23" ht="18" customHeight="1" x14ac:dyDescent="0.25"/>
    <row r="45" spans="1:23" ht="18" customHeight="1" x14ac:dyDescent="0.25"/>
    <row r="46" spans="1:23" ht="18" customHeight="1" x14ac:dyDescent="0.25">
      <c r="A46" s="41" t="s">
        <v>290</v>
      </c>
    </row>
    <row r="47" spans="1:23" ht="18" customHeight="1" x14ac:dyDescent="0.25">
      <c r="A47" s="38"/>
    </row>
    <row r="48" spans="1:23"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10">
    <mergeCell ref="A41:A42"/>
    <mergeCell ref="A46:A47"/>
    <mergeCell ref="Q22:W22"/>
    <mergeCell ref="Q23:W38"/>
    <mergeCell ref="A4:A7"/>
    <mergeCell ref="A9:A14"/>
    <mergeCell ref="A16:A21"/>
    <mergeCell ref="A23:A24"/>
    <mergeCell ref="A29:A30"/>
    <mergeCell ref="A35:A36"/>
  </mergeCells>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105A-0066-4A47-BE54-289C4ABF252C}">
  <dimension ref="A1:T70"/>
  <sheetViews>
    <sheetView workbookViewId="0">
      <pane ySplit="3" topLeftCell="A4" activePane="bottomLeft" state="frozenSplit"/>
      <selection pane="bottomLeft"/>
    </sheetView>
  </sheetViews>
  <sheetFormatPr defaultRowHeight="14.3" x14ac:dyDescent="0.25"/>
  <cols>
    <col min="1" max="1" width="54.625" customWidth="1"/>
    <col min="2" max="2" width="2.625" customWidth="1"/>
    <col min="3" max="3" width="8.625" customWidth="1"/>
    <col min="4" max="5" width="12.625" customWidth="1"/>
    <col min="6" max="6" width="2.625" customWidth="1"/>
    <col min="7" max="7" width="40.625" customWidth="1"/>
    <col min="8" max="9" width="12.625" customWidth="1"/>
    <col min="10" max="10" width="2.625" customWidth="1"/>
    <col min="11" max="15" width="12.625" customWidth="1"/>
    <col min="16" max="16" width="2.625" customWidth="1"/>
    <col min="17" max="17" width="60.625" customWidth="1"/>
    <col min="18" max="18" width="12.625" customWidth="1"/>
    <col min="19" max="19" width="50.625" customWidth="1"/>
    <col min="20" max="20" width="13.625" customWidth="1"/>
  </cols>
  <sheetData>
    <row r="1" spans="1:20" ht="19.05" x14ac:dyDescent="0.25">
      <c r="A1" s="1" t="s">
        <v>323</v>
      </c>
    </row>
    <row r="2" spans="1:20" x14ac:dyDescent="0.25">
      <c r="A2" s="2" t="s">
        <v>324</v>
      </c>
    </row>
    <row r="3" spans="1:20" ht="31.95" customHeight="1" x14ac:dyDescent="0.25">
      <c r="A3" s="3" t="s">
        <v>49</v>
      </c>
      <c r="C3" s="3" t="s">
        <v>325</v>
      </c>
      <c r="D3" s="3" t="s">
        <v>51</v>
      </c>
      <c r="G3" s="3" t="s">
        <v>53</v>
      </c>
      <c r="H3" s="3" t="s">
        <v>54</v>
      </c>
      <c r="K3" s="10" t="s">
        <v>335</v>
      </c>
      <c r="L3" s="10" t="s">
        <v>336</v>
      </c>
      <c r="M3" s="10" t="s">
        <v>337</v>
      </c>
      <c r="N3" s="10" t="s">
        <v>72</v>
      </c>
      <c r="Q3" s="10" t="s">
        <v>55</v>
      </c>
      <c r="R3" s="10" t="s">
        <v>54</v>
      </c>
      <c r="S3" s="10" t="s">
        <v>56</v>
      </c>
      <c r="T3" s="10" t="s">
        <v>57</v>
      </c>
    </row>
    <row r="4" spans="1:20" ht="18" customHeight="1" x14ac:dyDescent="0.25">
      <c r="A4" s="38" t="s">
        <v>326</v>
      </c>
      <c r="C4" s="15">
        <v>1</v>
      </c>
      <c r="D4">
        <v>1</v>
      </c>
      <c r="G4" s="4" t="s">
        <v>61</v>
      </c>
      <c r="H4" s="13"/>
      <c r="K4" s="37">
        <f t="shared" ref="K4:K19" si="0">(C4-0.5)/$R$4</f>
        <v>3.125E-2</v>
      </c>
      <c r="L4" s="17">
        <f t="shared" ref="L4:L19" si="1">_xlfn.NORM.S.INV(K4)</f>
        <v>-1.8627318674216511</v>
      </c>
      <c r="M4" s="17">
        <f t="shared" ref="M4:M19" si="2">$R$5+$R$7*L4</f>
        <v>0.95817159813020725</v>
      </c>
      <c r="N4" s="17">
        <f t="shared" ref="N4:N19" si="3">(D4-$R$5)^2</f>
        <v>9</v>
      </c>
      <c r="Q4" s="5" t="s">
        <v>75</v>
      </c>
      <c r="R4" s="18">
        <f>COUNT($D$4:$D$19)</f>
        <v>16</v>
      </c>
      <c r="S4" s="5" t="s">
        <v>76</v>
      </c>
    </row>
    <row r="5" spans="1:20" ht="18" customHeight="1" x14ac:dyDescent="0.25">
      <c r="A5" s="38"/>
      <c r="C5" s="15">
        <v>2</v>
      </c>
      <c r="D5">
        <v>2</v>
      </c>
      <c r="G5" s="4" t="s">
        <v>63</v>
      </c>
      <c r="H5" s="13"/>
      <c r="K5" s="37">
        <f t="shared" si="0"/>
        <v>9.375E-2</v>
      </c>
      <c r="L5" s="17">
        <f t="shared" si="1"/>
        <v>-1.3180108973035372</v>
      </c>
      <c r="M5" s="17">
        <f t="shared" si="2"/>
        <v>1.8476972174523554</v>
      </c>
      <c r="N5" s="17">
        <f t="shared" si="3"/>
        <v>4</v>
      </c>
      <c r="Q5" s="5" t="s">
        <v>77</v>
      </c>
      <c r="R5" s="19">
        <f>SUM($D$4:$D$19)/$R$4</f>
        <v>4</v>
      </c>
      <c r="S5" s="5" t="s">
        <v>78</v>
      </c>
    </row>
    <row r="6" spans="1:20" ht="18" customHeight="1" x14ac:dyDescent="0.25">
      <c r="A6" s="38"/>
      <c r="C6" s="15">
        <v>3</v>
      </c>
      <c r="D6">
        <v>2</v>
      </c>
      <c r="G6" s="4" t="s">
        <v>328</v>
      </c>
      <c r="H6" s="36"/>
      <c r="K6" s="37">
        <f t="shared" si="0"/>
        <v>0.15625</v>
      </c>
      <c r="L6" s="17">
        <f t="shared" si="1"/>
        <v>-1.0099901692495805</v>
      </c>
      <c r="M6" s="17">
        <f t="shared" si="2"/>
        <v>2.3506929600742046</v>
      </c>
      <c r="N6" s="17">
        <f t="shared" si="3"/>
        <v>4</v>
      </c>
      <c r="Q6" s="5" t="s">
        <v>338</v>
      </c>
      <c r="R6" s="19">
        <f>SUM($N$4:$N$19)</f>
        <v>40</v>
      </c>
      <c r="S6" s="5" t="s">
        <v>339</v>
      </c>
    </row>
    <row r="7" spans="1:20" ht="18" customHeight="1" x14ac:dyDescent="0.25">
      <c r="A7" s="38"/>
      <c r="C7" s="15">
        <v>4</v>
      </c>
      <c r="D7">
        <v>3</v>
      </c>
      <c r="G7" s="4" t="s">
        <v>329</v>
      </c>
      <c r="H7" s="13"/>
      <c r="K7" s="37">
        <f t="shared" si="0"/>
        <v>0.21875</v>
      </c>
      <c r="L7" s="17">
        <f t="shared" si="1"/>
        <v>-0.77642176114792794</v>
      </c>
      <c r="M7" s="17">
        <f t="shared" si="2"/>
        <v>2.7321085733296666</v>
      </c>
      <c r="N7" s="17">
        <f t="shared" si="3"/>
        <v>1</v>
      </c>
      <c r="Q7" s="5" t="s">
        <v>340</v>
      </c>
      <c r="R7" s="19">
        <f>SQRT($R$6/($R$4-1))</f>
        <v>1.6329931618554521</v>
      </c>
      <c r="S7" s="5" t="s">
        <v>341</v>
      </c>
    </row>
    <row r="8" spans="1:20" ht="18" customHeight="1" x14ac:dyDescent="0.25">
      <c r="A8" s="38"/>
      <c r="C8" s="15">
        <v>5</v>
      </c>
      <c r="D8">
        <v>3</v>
      </c>
      <c r="G8" s="4" t="s">
        <v>330</v>
      </c>
      <c r="H8" s="13"/>
      <c r="K8" s="37">
        <f t="shared" si="0"/>
        <v>0.28125</v>
      </c>
      <c r="L8" s="17">
        <f t="shared" si="1"/>
        <v>-0.57913216225555586</v>
      </c>
      <c r="M8" s="17">
        <f t="shared" si="2"/>
        <v>3.0542811392261151</v>
      </c>
      <c r="N8" s="17">
        <f t="shared" si="3"/>
        <v>1</v>
      </c>
      <c r="Q8" s="20" t="s">
        <v>342</v>
      </c>
    </row>
    <row r="9" spans="1:20" ht="18" customHeight="1" x14ac:dyDescent="0.25">
      <c r="A9" s="38"/>
      <c r="C9" s="15">
        <v>6</v>
      </c>
      <c r="D9">
        <v>3</v>
      </c>
      <c r="G9" s="4" t="s">
        <v>331</v>
      </c>
      <c r="H9" s="13"/>
      <c r="K9" s="37">
        <f t="shared" si="0"/>
        <v>0.34375</v>
      </c>
      <c r="L9" s="17">
        <f t="shared" si="1"/>
        <v>-0.40225006532172536</v>
      </c>
      <c r="M9" s="17">
        <f t="shared" si="2"/>
        <v>3.3431283939737133</v>
      </c>
      <c r="N9" s="17">
        <f t="shared" si="3"/>
        <v>1</v>
      </c>
      <c r="Q9" s="5" t="s">
        <v>343</v>
      </c>
      <c r="R9" s="26">
        <f>(1-0.5)/$R$4</f>
        <v>3.125E-2</v>
      </c>
      <c r="S9" s="5" t="s">
        <v>344</v>
      </c>
    </row>
    <row r="10" spans="1:20" ht="18" customHeight="1" x14ac:dyDescent="0.25">
      <c r="A10" s="38"/>
      <c r="C10" s="15">
        <v>7</v>
      </c>
      <c r="D10">
        <v>4</v>
      </c>
      <c r="K10" s="37">
        <f t="shared" si="0"/>
        <v>0.40625</v>
      </c>
      <c r="L10" s="17">
        <f t="shared" si="1"/>
        <v>-0.23720210932878771</v>
      </c>
      <c r="M10" s="17">
        <f t="shared" si="2"/>
        <v>3.6126505774884006</v>
      </c>
      <c r="N10" s="17">
        <f t="shared" si="3"/>
        <v>0</v>
      </c>
      <c r="Q10" s="5" t="s">
        <v>345</v>
      </c>
      <c r="R10" s="19">
        <f>_xlfn.NORM.S.INV($R$9)</f>
        <v>-1.8627318674216511</v>
      </c>
      <c r="S10" s="5" t="s">
        <v>346</v>
      </c>
    </row>
    <row r="11" spans="1:20" ht="18" customHeight="1" x14ac:dyDescent="0.25">
      <c r="A11" s="38"/>
      <c r="C11" s="15">
        <v>8</v>
      </c>
      <c r="D11">
        <v>4</v>
      </c>
      <c r="K11" s="37">
        <f t="shared" si="0"/>
        <v>0.46875</v>
      </c>
      <c r="L11" s="17">
        <f t="shared" si="1"/>
        <v>-7.8412412733112211E-2</v>
      </c>
      <c r="M11" s="17">
        <f t="shared" si="2"/>
        <v>3.8719530662022406</v>
      </c>
      <c r="N11" s="17">
        <f t="shared" si="3"/>
        <v>0</v>
      </c>
      <c r="Q11" s="5" t="s">
        <v>347</v>
      </c>
      <c r="R11" s="19">
        <f>_xlfn.NORM.S.INV(($R$4-0.5)/$R$4)</f>
        <v>1.8627318674216511</v>
      </c>
      <c r="S11" s="5" t="s">
        <v>348</v>
      </c>
    </row>
    <row r="12" spans="1:20" ht="18" customHeight="1" x14ac:dyDescent="0.25">
      <c r="A12" s="38"/>
      <c r="C12" s="15">
        <v>9</v>
      </c>
      <c r="D12">
        <v>4</v>
      </c>
      <c r="K12" s="37">
        <f t="shared" si="0"/>
        <v>0.53125</v>
      </c>
      <c r="L12" s="17">
        <f t="shared" si="1"/>
        <v>7.8412412733112211E-2</v>
      </c>
      <c r="M12" s="17">
        <f t="shared" si="2"/>
        <v>4.1280469337977594</v>
      </c>
      <c r="N12" s="17">
        <f t="shared" si="3"/>
        <v>0</v>
      </c>
      <c r="Q12" s="5" t="s">
        <v>349</v>
      </c>
      <c r="R12" s="19">
        <f>$R$5+$R$7*$R$10</f>
        <v>0.95817159813020725</v>
      </c>
      <c r="S12" s="5" t="s">
        <v>350</v>
      </c>
    </row>
    <row r="13" spans="1:20" ht="18" customHeight="1" x14ac:dyDescent="0.25">
      <c r="C13" s="15">
        <v>10</v>
      </c>
      <c r="D13">
        <v>4</v>
      </c>
      <c r="K13" s="37">
        <f t="shared" si="0"/>
        <v>0.59375</v>
      </c>
      <c r="L13" s="17">
        <f t="shared" si="1"/>
        <v>0.23720210932878771</v>
      </c>
      <c r="M13" s="17">
        <f t="shared" si="2"/>
        <v>4.3873494225115994</v>
      </c>
      <c r="N13" s="17">
        <f t="shared" si="3"/>
        <v>0</v>
      </c>
      <c r="Q13" s="5" t="s">
        <v>351</v>
      </c>
      <c r="R13" s="19">
        <f>$R$5+$R$7*$R$11</f>
        <v>7.0418284018697932</v>
      </c>
      <c r="S13" s="5" t="s">
        <v>352</v>
      </c>
    </row>
    <row r="14" spans="1:20" ht="18" customHeight="1" x14ac:dyDescent="0.25">
      <c r="A14" s="40" t="s">
        <v>113</v>
      </c>
      <c r="C14" s="15">
        <v>11</v>
      </c>
      <c r="D14">
        <v>5</v>
      </c>
      <c r="K14" s="37">
        <f t="shared" si="0"/>
        <v>0.65625</v>
      </c>
      <c r="L14" s="17">
        <f t="shared" si="1"/>
        <v>0.40225006532172536</v>
      </c>
      <c r="M14" s="17">
        <f t="shared" si="2"/>
        <v>4.6568716060262867</v>
      </c>
      <c r="N14" s="17">
        <f t="shared" si="3"/>
        <v>1</v>
      </c>
      <c r="Q14" s="20" t="s">
        <v>97</v>
      </c>
    </row>
    <row r="15" spans="1:20" ht="18" customHeight="1" x14ac:dyDescent="0.25">
      <c r="A15" s="38"/>
      <c r="C15" s="15">
        <v>12</v>
      </c>
      <c r="D15">
        <v>5</v>
      </c>
      <c r="K15" s="37">
        <f t="shared" si="0"/>
        <v>0.71875</v>
      </c>
      <c r="L15" s="17">
        <f t="shared" si="1"/>
        <v>0.57913216225555586</v>
      </c>
      <c r="M15" s="17">
        <f t="shared" si="2"/>
        <v>4.9457188607738853</v>
      </c>
      <c r="N15" s="17">
        <f t="shared" si="3"/>
        <v>1</v>
      </c>
      <c r="Q15" s="5" t="s">
        <v>100</v>
      </c>
      <c r="R15" s="22">
        <f>_xlfn.STDEV.S($D$4:$D$19)</f>
        <v>1.6329931618554521</v>
      </c>
      <c r="S15" s="5" t="s">
        <v>101</v>
      </c>
      <c r="T15" s="23" t="str">
        <f>IF(ABS(R15-$R$7)&lt;0.000001,"ano","ne")</f>
        <v>ano</v>
      </c>
    </row>
    <row r="16" spans="1:20" ht="18" customHeight="1" x14ac:dyDescent="0.25">
      <c r="A16" s="38"/>
      <c r="C16" s="15">
        <v>13</v>
      </c>
      <c r="D16">
        <v>5</v>
      </c>
      <c r="K16" s="37">
        <f t="shared" si="0"/>
        <v>0.78125</v>
      </c>
      <c r="L16" s="17">
        <f t="shared" si="1"/>
        <v>0.77642176114792794</v>
      </c>
      <c r="M16" s="17">
        <f t="shared" si="2"/>
        <v>5.2678914266703334</v>
      </c>
      <c r="N16" s="17">
        <f t="shared" si="3"/>
        <v>1</v>
      </c>
      <c r="Q16" s="5" t="s">
        <v>353</v>
      </c>
      <c r="R16" s="22">
        <f>-$R$11</f>
        <v>-1.8627318674216511</v>
      </c>
      <c r="S16" s="5" t="s">
        <v>354</v>
      </c>
      <c r="T16" s="23" t="str">
        <f>IF(ABS(R16-$R$10)&lt;0.000001,"ano","ne")</f>
        <v>ano</v>
      </c>
    </row>
    <row r="17" spans="1:19" ht="18" customHeight="1" x14ac:dyDescent="0.25">
      <c r="A17" s="38"/>
      <c r="C17" s="15">
        <v>14</v>
      </c>
      <c r="D17">
        <v>6</v>
      </c>
      <c r="K17" s="37">
        <f t="shared" si="0"/>
        <v>0.84375</v>
      </c>
      <c r="L17" s="17">
        <f t="shared" si="1"/>
        <v>1.0099901692495805</v>
      </c>
      <c r="M17" s="17">
        <f t="shared" si="2"/>
        <v>5.6493070399257954</v>
      </c>
      <c r="N17" s="17">
        <f t="shared" si="3"/>
        <v>4</v>
      </c>
    </row>
    <row r="18" spans="1:19" ht="18" customHeight="1" x14ac:dyDescent="0.25">
      <c r="A18" s="38"/>
      <c r="C18" s="15">
        <v>15</v>
      </c>
      <c r="D18">
        <v>6</v>
      </c>
      <c r="K18" s="37">
        <f t="shared" si="0"/>
        <v>0.90625</v>
      </c>
      <c r="L18" s="17">
        <f t="shared" si="1"/>
        <v>1.3180108973035372</v>
      </c>
      <c r="M18" s="17">
        <f t="shared" si="2"/>
        <v>6.1523027825476451</v>
      </c>
      <c r="N18" s="17">
        <f t="shared" si="3"/>
        <v>4</v>
      </c>
      <c r="Q18" s="39" t="s">
        <v>104</v>
      </c>
      <c r="R18" s="39"/>
      <c r="S18" s="39"/>
    </row>
    <row r="19" spans="1:19" ht="18" customHeight="1" x14ac:dyDescent="0.25">
      <c r="A19" s="38"/>
      <c r="C19" s="15">
        <v>16</v>
      </c>
      <c r="D19">
        <v>7</v>
      </c>
      <c r="K19" s="37">
        <f t="shared" si="0"/>
        <v>0.96875</v>
      </c>
      <c r="L19" s="17">
        <f t="shared" si="1"/>
        <v>1.8627318674216511</v>
      </c>
      <c r="M19" s="17">
        <f t="shared" si="2"/>
        <v>7.0418284018697932</v>
      </c>
      <c r="N19" s="17">
        <f t="shared" si="3"/>
        <v>9</v>
      </c>
      <c r="Q19" s="38" t="s">
        <v>355</v>
      </c>
      <c r="R19" s="38"/>
      <c r="S19" s="38"/>
    </row>
    <row r="20" spans="1:19" ht="18" customHeight="1" x14ac:dyDescent="0.25">
      <c r="Q20" s="38"/>
      <c r="R20" s="38"/>
      <c r="S20" s="38"/>
    </row>
    <row r="21" spans="1:19" ht="18" customHeight="1" x14ac:dyDescent="0.25">
      <c r="A21" s="41" t="s">
        <v>327</v>
      </c>
      <c r="Q21" s="38"/>
      <c r="R21" s="38"/>
      <c r="S21" s="38"/>
    </row>
    <row r="22" spans="1:19" ht="18" customHeight="1" x14ac:dyDescent="0.25">
      <c r="A22" s="38"/>
      <c r="Q22" s="38"/>
      <c r="R22" s="38"/>
      <c r="S22" s="38"/>
    </row>
    <row r="23" spans="1:19" ht="18" customHeight="1" x14ac:dyDescent="0.25">
      <c r="Q23" s="38"/>
      <c r="R23" s="38"/>
      <c r="S23" s="38"/>
    </row>
    <row r="24" spans="1:19" ht="18" customHeight="1" x14ac:dyDescent="0.25">
      <c r="Q24" s="38"/>
      <c r="R24" s="38"/>
      <c r="S24" s="38"/>
    </row>
    <row r="25" spans="1:19" ht="18" customHeight="1" x14ac:dyDescent="0.25">
      <c r="A25" s="10" t="s">
        <v>67</v>
      </c>
      <c r="Q25" s="38"/>
      <c r="R25" s="38"/>
      <c r="S25" s="38"/>
    </row>
    <row r="26" spans="1:19" ht="18" customHeight="1" x14ac:dyDescent="0.25">
      <c r="Q26" s="38"/>
      <c r="R26" s="38"/>
      <c r="S26" s="38"/>
    </row>
    <row r="27" spans="1:19" ht="18" customHeight="1" x14ac:dyDescent="0.25">
      <c r="Q27" s="38"/>
      <c r="R27" s="38"/>
      <c r="S27" s="38"/>
    </row>
    <row r="28" spans="1:19" ht="18" customHeight="1" x14ac:dyDescent="0.25">
      <c r="Q28" s="38"/>
      <c r="R28" s="38"/>
      <c r="S28" s="38"/>
    </row>
    <row r="29" spans="1:19" ht="18" customHeight="1" x14ac:dyDescent="0.25">
      <c r="A29" s="41" t="s">
        <v>332</v>
      </c>
      <c r="Q29" s="38"/>
      <c r="R29" s="38"/>
      <c r="S29" s="38"/>
    </row>
    <row r="30" spans="1:19" ht="18" customHeight="1" x14ac:dyDescent="0.25">
      <c r="A30" s="38"/>
      <c r="Q30" s="38"/>
      <c r="R30" s="38"/>
      <c r="S30" s="38"/>
    </row>
    <row r="31" spans="1:19" ht="18" customHeight="1" x14ac:dyDescent="0.25">
      <c r="Q31" s="38"/>
      <c r="R31" s="38"/>
      <c r="S31" s="38"/>
    </row>
    <row r="32" spans="1:19" ht="18" customHeight="1" x14ac:dyDescent="0.25"/>
    <row r="33" spans="1:1" ht="18" customHeight="1" x14ac:dyDescent="0.25"/>
    <row r="34" spans="1:1" ht="18" customHeight="1" x14ac:dyDescent="0.25">
      <c r="A34" s="41" t="s">
        <v>333</v>
      </c>
    </row>
    <row r="35" spans="1:1" ht="18" customHeight="1" x14ac:dyDescent="0.25">
      <c r="A35" s="38"/>
    </row>
    <row r="36" spans="1:1" ht="18" customHeight="1" x14ac:dyDescent="0.25"/>
    <row r="37" spans="1:1" ht="18" customHeight="1" x14ac:dyDescent="0.25"/>
    <row r="38" spans="1:1" ht="18" customHeight="1" x14ac:dyDescent="0.25"/>
    <row r="39" spans="1:1" ht="18" customHeight="1" x14ac:dyDescent="0.25">
      <c r="A39" s="41" t="s">
        <v>334</v>
      </c>
    </row>
    <row r="40" spans="1:1" ht="18" customHeight="1" x14ac:dyDescent="0.25">
      <c r="A40" s="38"/>
    </row>
    <row r="41" spans="1:1" ht="18" customHeight="1" x14ac:dyDescent="0.25"/>
    <row r="42" spans="1:1" ht="18" customHeight="1" x14ac:dyDescent="0.25"/>
    <row r="43" spans="1:1" ht="18" customHeight="1" x14ac:dyDescent="0.25"/>
    <row r="44" spans="1:1" ht="18" customHeight="1" x14ac:dyDescent="0.25"/>
    <row r="45" spans="1:1" ht="18" customHeight="1" x14ac:dyDescent="0.25"/>
    <row r="46" spans="1:1" ht="18" customHeight="1" x14ac:dyDescent="0.25"/>
    <row r="47" spans="1:1" ht="18" customHeight="1" x14ac:dyDescent="0.25"/>
    <row r="48" spans="1:1"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sheetData>
  <mergeCells count="8">
    <mergeCell ref="A34:A35"/>
    <mergeCell ref="A39:A40"/>
    <mergeCell ref="Q18:S18"/>
    <mergeCell ref="Q19:S31"/>
    <mergeCell ref="A4:A12"/>
    <mergeCell ref="A14:A19"/>
    <mergeCell ref="A21:A22"/>
    <mergeCell ref="A29:A30"/>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9</vt:i4>
      </vt:variant>
    </vt:vector>
  </HeadingPairs>
  <TitlesOfParts>
    <vt:vector size="9" baseType="lpstr">
      <vt:lpstr>Prehled</vt:lpstr>
      <vt:lpstr>U1_z_skor</vt:lpstr>
      <vt:lpstr>U2_podily</vt:lpstr>
      <vt:lpstr>U3_hranice</vt:lpstr>
      <vt:lpstr>U4_dve_skupiny</vt:lpstr>
      <vt:lpstr>U5_diagnostika</vt:lpstr>
      <vt:lpstr>U6_referencni</vt:lpstr>
      <vt:lpstr>U7_T_skory</vt:lpstr>
      <vt:lpstr>U8_QQ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2026-10-20T15:06:52Z</dcterms:created>
  <dcterms:modified xsi:type="dcterms:W3CDTF">2026-10-20T15:07:28Z</dcterms:modified>
</cp:coreProperties>
</file>