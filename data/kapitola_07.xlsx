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B121DE8-2EA7-4B67-9D06-BA695C32893B}" xr6:coauthVersionLast="47" xr6:coauthVersionMax="47" xr10:uidLastSave="{00000000-0000-0000-0000-000000000000}"/>
  <bookViews>
    <workbookView xWindow="-109" yWindow="-109" windowWidth="34995" windowHeight="19060" xr2:uid="{02248589-D1F7-48A7-B4D4-AF9361169766}"/>
  </bookViews>
  <sheets>
    <sheet name="Prehled" sheetId="1" r:id="rId1"/>
    <sheet name="Interval_z" sheetId="2" r:id="rId2"/>
    <sheet name="Interval_t" sheetId="3" r:id="rId3"/>
    <sheet name="T_test" sheetId="4" r:id="rId4"/>
    <sheet name="Ekvivalence" sheetId="5" r:id="rId5"/>
    <sheet name="Pozornost" sheetId="6" r:id="rId6"/>
    <sheet name="PDI" sheetId="7" r:id="rId7"/>
    <sheet name="Studie_ekv" sheetId="8" r:id="rId8"/>
    <sheet name="Sim_intervaly" sheetId="9" r:id="rId9"/>
    <sheet name="U01_IQ" sheetId="10" r:id="rId10"/>
    <sheet name="U03_sirka" sheetId="11" r:id="rId11"/>
    <sheet name="U05_slova" sheetId="12" r:id="rId12"/>
    <sheet name="U06_pohoda" sheetId="13" r:id="rId13"/>
    <sheet name="U07_uzkost" sheetId="14" r:id="rId14"/>
    <sheet name="U08_intervaly" sheetId="15" r:id="rId15"/>
    <sheet name="U09_deprese" sheetId="16" r:id="rId16"/>
    <sheet name="U10_spokojenost" sheetId="17" r:id="rId17"/>
    <sheet name="U11_studie" sheetId="18" r:id="rId18"/>
    <sheet name="U14_neinferiorita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5" l="1"/>
  <c r="B12" i="5"/>
  <c r="B11" i="5"/>
  <c r="B22" i="5" s="1"/>
  <c r="B23" i="5" s="1"/>
  <c r="B10" i="5"/>
  <c r="B18" i="5" s="1"/>
  <c r="B9" i="5"/>
  <c r="B19" i="5" s="1"/>
  <c r="B9" i="4"/>
  <c r="B14" i="4" s="1"/>
  <c r="B8" i="4"/>
  <c r="B10" i="4" s="1"/>
  <c r="B8" i="3"/>
  <c r="B9" i="3" s="1"/>
  <c r="B10" i="3" s="1"/>
  <c r="B7" i="3"/>
  <c r="B8" i="2"/>
  <c r="B7" i="2"/>
  <c r="B24" i="5" l="1"/>
  <c r="B25" i="5" s="1"/>
  <c r="B15" i="5"/>
  <c r="B16" i="5"/>
  <c r="B17" i="5" s="1"/>
  <c r="B9" i="2"/>
  <c r="B13" i="4"/>
  <c r="B12" i="4"/>
  <c r="B11" i="4"/>
  <c r="B11" i="3"/>
  <c r="B12" i="3"/>
  <c r="B11" i="2"/>
  <c r="B10" i="2"/>
  <c r="B20" i="5"/>
  <c r="B26" i="5"/>
</calcChain>
</file>

<file path=xl/sharedStrings.xml><?xml version="1.0" encoding="utf-8"?>
<sst xmlns="http://schemas.openxmlformats.org/spreadsheetml/2006/main" count="283" uniqueCount="187">
  <si>
    <t>Interval spolehlivosti při známé σ</t>
  </si>
  <si>
    <t>Hodnota</t>
  </si>
  <si>
    <t>Výběrový průměr m</t>
  </si>
  <si>
    <t>Populační směrodatná odchylka σ (modelový předpoklad)</t>
  </si>
  <si>
    <t>Velikost výběru n</t>
  </si>
  <si>
    <t>Hladina spolehlivosti</t>
  </si>
  <si>
    <t>Směrodatná chyba průměru</t>
  </si>
  <si>
    <t>Kvantil normovaného normálního rozdělení</t>
  </si>
  <si>
    <t>Mezní chyba odhadu</t>
  </si>
  <si>
    <t>Dolní mez</t>
  </si>
  <si>
    <t>Horní mez</t>
  </si>
  <si>
    <t>Autorský ilustrační model skóru pozornosti.</t>
  </si>
  <si>
    <t>Platí jen za předpokladu, že σ známe.</t>
  </si>
  <si>
    <t>Žlutě: vstupy. Modře: výpočty.</t>
  </si>
  <si>
    <t>Pro 0,95 je úroveň kvantilu 0,975.</t>
  </si>
  <si>
    <t>Interval zachytí μ v 95 % opakování postupu;</t>
  </si>
  <si>
    <t>jeden interval μ buď obsahuje, nebo ne.</t>
  </si>
  <si>
    <t>Interval spolehlivosti s t-kvantilem</t>
  </si>
  <si>
    <t>Výběrová směrodatná odchylka s</t>
  </si>
  <si>
    <t>Odhad směrodatné chyby</t>
  </si>
  <si>
    <t>Stupně volnosti</t>
  </si>
  <si>
    <t>Kvantil t-rozdělení</t>
  </si>
  <si>
    <t>σ neznáme, používáme výběrovou s.</t>
  </si>
  <si>
    <t>Kvantil je větší než u normovaného normálního rozdělení.</t>
  </si>
  <si>
    <t>Předpoklady: nezávislý náhodný výběr, přibližně normální populace.</t>
  </si>
  <si>
    <t>Jednovýběrový t-test</t>
  </si>
  <si>
    <t>Hraniční hodnota μ₀ podle nulové hypotézy</t>
  </si>
  <si>
    <t>Hladina významnosti</t>
  </si>
  <si>
    <t>Testová statistika t</t>
  </si>
  <si>
    <t>P-hodnota pro alternativu „menší“</t>
  </si>
  <si>
    <t>P-hodnota pro alternativu „větší“</t>
  </si>
  <si>
    <t>P-hodnota oboustranně</t>
  </si>
  <si>
    <t>Kritická hodnota t oboustranně</t>
  </si>
  <si>
    <t>Použijte jen p-hodnotu pro směr zvolený předem.</t>
  </si>
  <si>
    <t>T.DIST.2T vyžaduje nezáporný první argument.</t>
  </si>
  <si>
    <t>Po rozhodnutí následuje věcná interpretace.</t>
  </si>
  <si>
    <t>Test rozdílu a test ekvivalence</t>
  </si>
  <si>
    <t>Norma μ₀ (pevná referenční hodnota)</t>
  </si>
  <si>
    <t>Hranice ekvivalence Δ, zvolená předem</t>
  </si>
  <si>
    <t>Dolní hranice ekvivalence</t>
  </si>
  <si>
    <t>Horní hranice ekvivalence</t>
  </si>
  <si>
    <t>Test rozdílu: dolní mez 95% intervalu</t>
  </si>
  <si>
    <t>Test rozdílu: horní mez 95% intervalu</t>
  </si>
  <si>
    <t>Test rozdílu: oboustranná p-hodnota</t>
  </si>
  <si>
    <t>Test rozdílu: rozhodnutí</t>
  </si>
  <si>
    <t>Test ekvivalence: dolní mez 90% intervalu</t>
  </si>
  <si>
    <t>Test ekvivalence: horní mez 90% intervalu</t>
  </si>
  <si>
    <t>Test ekvivalence: závěr</t>
  </si>
  <si>
    <t>Nepovinně: t vůči dolní hranici</t>
  </si>
  <si>
    <t>Nepovinně: p-hodnota vůči dolní hranici</t>
  </si>
  <si>
    <t>Nepovinně: t vůči horní hranici</t>
  </si>
  <si>
    <t>Nepovinně: p-hodnota vůči horní hranici</t>
  </si>
  <si>
    <t>Nepovinně: výsledná p-hodnota TOST</t>
  </si>
  <si>
    <t>Výchozí vstupy jsou studie B z listu Studie_ekv.</t>
  </si>
  <si>
    <t>Hranice stanovte před analýzou, ne podle výsledku.</t>
  </si>
  <si>
    <t>95% interval slouží testu rozdílu od normy.</t>
  </si>
  <si>
    <t>90% interval slouží testu ekvivalence:</t>
  </si>
  <si>
    <t>dva jednostranné testy, každý na hladině B7.</t>
  </si>
  <si>
    <t>Ekvivalence jen tehdy, leží-li celý 90% interval v pásmu.</t>
  </si>
  <si>
    <t>Větší z obou p-hodnot; menší než B7 znamená ekvivalenci.</t>
  </si>
  <si>
    <t>Vstup</t>
  </si>
  <si>
    <t>Hodnota normy (body)</t>
  </si>
  <si>
    <t>Směrodatná odchylka podle norem: modelový předpoklad σ (body)</t>
  </si>
  <si>
    <t>Velikost výběru</t>
  </si>
  <si>
    <t>Výběrový průměr (body)</t>
  </si>
  <si>
    <t>Výběrová směrodatná odchylka s (body)</t>
  </si>
  <si>
    <t>Použití a původ</t>
  </si>
  <si>
    <t>Výklad: interval spolehlivosti a jednovýběrový t-test</t>
  </si>
  <si>
    <t>Autorský ilustrační model skóru pozornosti z kapitol 4 a 6; nejde o normy skutečného testu ani o skutečný výzkum. σ = 10 je modelový předpoklad, s = 10 údaj z výběru. Hotové výpočty jsou na listech Interval_z, Interval_t a T_test.</t>
  </si>
  <si>
    <t>Populační průměr podle norem</t>
  </si>
  <si>
    <t>Počet dětí</t>
  </si>
  <si>
    <t>Výběrový průměr</t>
  </si>
  <si>
    <t>Výběrová směrodatná odchylka</t>
  </si>
  <si>
    <t>Výklad: t-test a interval pro index psychomotorického vývoje</t>
  </si>
  <si>
    <t>Souhrny uvádí Howell (2013, s. 186–188) podle studie Nurcomba et al. (1984); jednotlivé hodnoty dětí sešit neobsahuje.</t>
  </si>
  <si>
    <t>Studie</t>
  </si>
  <si>
    <t>Výběrová směrodatná odchylka (body)</t>
  </si>
  <si>
    <t>A</t>
  </si>
  <si>
    <t>B</t>
  </si>
  <si>
    <t>C</t>
  </si>
  <si>
    <t>D</t>
  </si>
  <si>
    <t>E</t>
  </si>
  <si>
    <t>Výklad: pět studií online verze testu a test ekvivalence</t>
  </si>
  <si>
    <t>Smyšlené studie. Norma 50 bodů, hranice ekvivalence 47 a 53 bodů stanovené předem. Řádek je jedna studie, nikoli účastník. Hotový výpočet pro jednu studii je na listu Ekvivalence.</t>
  </si>
  <si>
    <t>Průměr výběru (body)</t>
  </si>
  <si>
    <t>Dolní mez, známá σ</t>
  </si>
  <si>
    <t>Horní mez, známá σ</t>
  </si>
  <si>
    <t>Zachytil μ, známá σ (1 = ano)</t>
  </si>
  <si>
    <t>Dolní mez, výběrová s</t>
  </si>
  <si>
    <t>Horní mez, výběrová s</t>
  </si>
  <si>
    <t>Zachytil μ, výběrová s (1 = ano)</t>
  </si>
  <si>
    <t>Obrázek: sto intervalů spolehlivosti ze sta simulovaných výběrů</t>
  </si>
  <si>
    <t>Simulovaná data z výukového modelu: populační průměr 47 bodů, směrodatná odchylka 10 bodů, normální rozdělení, 100 výběrů po 25 studentech. Řádek je jeden celý výběr, nikoli student. Meze 95% intervalů jsou vypočteny z nezaokrouhlených hodnot a zaokrouhleny na tři desetinná místa.</t>
  </si>
  <si>
    <t>Populační směrodatná odchylka podle norem</t>
  </si>
  <si>
    <t>Cvičení 1</t>
  </si>
  <si>
    <t>Čísla jako v úloze 9 kapitoly 6.</t>
  </si>
  <si>
    <t>Směrodatná odchylka (body)</t>
  </si>
  <si>
    <t>Velikost výběru ve výchozím plánu</t>
  </si>
  <si>
    <t>Druhá velikost výběru</t>
  </si>
  <si>
    <t>Cvičení 3</t>
  </si>
  <si>
    <t>Autorské ilustrační údaje. Nejde o skutečný výzkum.</t>
  </si>
  <si>
    <t>Počet vybavených slov z 20</t>
  </si>
  <si>
    <t>Cvičení 5</t>
  </si>
  <si>
    <t>Autorské ilustrační údaje; řádek je jeden dobrovolník.</t>
  </si>
  <si>
    <t>Populační průměr podle norem (body)</t>
  </si>
  <si>
    <t>Cvičení 6</t>
  </si>
  <si>
    <t>Skór zkouškové úzkosti (body)</t>
  </si>
  <si>
    <t>Cvičení 7</t>
  </si>
  <si>
    <t>Autorské ilustrační údaje; řádek je jeden student. Norma pro studenty je 20 bodů.</t>
  </si>
  <si>
    <t>Interval</t>
  </si>
  <si>
    <t>Dolní mez (ms)</t>
  </si>
  <si>
    <t>Horní mez (ms)</t>
  </si>
  <si>
    <t>a</t>
  </si>
  <si>
    <t>95%</t>
  </si>
  <si>
    <t>b</t>
  </si>
  <si>
    <t>c</t>
  </si>
  <si>
    <t>d</t>
  </si>
  <si>
    <t>e</t>
  </si>
  <si>
    <t>90%</t>
  </si>
  <si>
    <t>Cvičení 8: intervaly k posouzení</t>
  </si>
  <si>
    <t>Autorské modelové výsledky pěti smyšlených studií; testovaná hodnota 500 ms. Řádek je studie.</t>
  </si>
  <si>
    <t>Průměr podle norem (body)</t>
  </si>
  <si>
    <t>Směrodatná odchylka podle norem (body)</t>
  </si>
  <si>
    <t>Hranice pro pozvání: více než (body)</t>
  </si>
  <si>
    <t>Nejvyšší přípustná změna podílu pozvaných (procentní body)</t>
  </si>
  <si>
    <t>Cvičení 9</t>
  </si>
  <si>
    <t>Smyšlený screeningový dotazník; normální model.</t>
  </si>
  <si>
    <t>Hranice ekvivalence Δ (body)</t>
  </si>
  <si>
    <t>Cvičení 10 a 13</t>
  </si>
  <si>
    <t>V části d) změňte velikost výběru na 30 a poté obnovte 150.</t>
  </si>
  <si>
    <t>95% interval: dolní mez (ms)</t>
  </si>
  <si>
    <t>95% interval: horní mez (ms)</t>
  </si>
  <si>
    <t>90% interval: dolní mez (ms)</t>
  </si>
  <si>
    <t>90% interval: horní mez (ms)</t>
  </si>
  <si>
    <t>P</t>
  </si>
  <si>
    <t>Q</t>
  </si>
  <si>
    <t>R</t>
  </si>
  <si>
    <t>S</t>
  </si>
  <si>
    <t>T</t>
  </si>
  <si>
    <t>Cvičení 11: intervaly pěti studií</t>
  </si>
  <si>
    <t>Autorské modelové výsledky; norma 500 ms, hranice ekvivalence 480 a 520 ms. Řádek je studie.</t>
  </si>
  <si>
    <t>Mez neinferiority Δ (body)</t>
  </si>
  <si>
    <t>Nepovinné cvičení 14</t>
  </si>
  <si>
    <t>Horší výsledek znamená nižší skóre.</t>
  </si>
  <si>
    <t>Data ke kapitole 7</t>
  </si>
  <si>
    <t>Začněte vstupy. Žluté buňky obsahují data; modré buňky na výpočtových listech vzorce.</t>
  </si>
  <si>
    <t>Zadání a vysvětlení jsou v kapitole. Řešení otevírejte až po vlastním pokusu.</t>
  </si>
  <si>
    <t>List</t>
  </si>
  <si>
    <t>Oblast vstupů / tabulky</t>
  </si>
  <si>
    <t>Příklad nebo cvičení</t>
  </si>
  <si>
    <t>Pozornost</t>
  </si>
  <si>
    <t>A2:B8</t>
  </si>
  <si>
    <t>PDI</t>
  </si>
  <si>
    <t>A2:B5</t>
  </si>
  <si>
    <t>Studie_ekv</t>
  </si>
  <si>
    <t>A2:D6</t>
  </si>
  <si>
    <t>Sim_intervaly</t>
  </si>
  <si>
    <t>A2:H101</t>
  </si>
  <si>
    <t>U01_IQ</t>
  </si>
  <si>
    <t>A2:B4</t>
  </si>
  <si>
    <t>U03_sirka</t>
  </si>
  <si>
    <t>U05_slova</t>
  </si>
  <si>
    <t>A2:A11</t>
  </si>
  <si>
    <t>U06_pohoda</t>
  </si>
  <si>
    <t>U07_uzkost</t>
  </si>
  <si>
    <t>A2:A21</t>
  </si>
  <si>
    <t>U08_intervaly</t>
  </si>
  <si>
    <t>U09_deprese</t>
  </si>
  <si>
    <t>U10_spokojenost</t>
  </si>
  <si>
    <t>A2:B6</t>
  </si>
  <si>
    <t>U11_studie</t>
  </si>
  <si>
    <t>A2:E6</t>
  </si>
  <si>
    <t>U14_neinferiorita</t>
  </si>
  <si>
    <t>Interval_z</t>
  </si>
  <si>
    <t>A1:B11</t>
  </si>
  <si>
    <t>Hotový interval spolehlivosti při známé σ</t>
  </si>
  <si>
    <t>Interval_t</t>
  </si>
  <si>
    <t>A1:B12</t>
  </si>
  <si>
    <t>Hotový interval spolehlivosti s t-kvantilem</t>
  </si>
  <si>
    <t>T_test</t>
  </si>
  <si>
    <t>A1:B14</t>
  </si>
  <si>
    <t>Hotový jednovýběrový t-test</t>
  </si>
  <si>
    <t>Ekvivalence</t>
  </si>
  <si>
    <t>A1:B26</t>
  </si>
  <si>
    <t>Hotový test rozdílu a test ekvivalence pro jednu studii; B22:B26 nepovinně</t>
  </si>
  <si>
    <t>Slovní úlohy 2, 4 a 12 nevyžadují vlastní datový list.</t>
  </si>
  <si>
    <t>List Sim_intervaly obsahuje simulovaná data z výukového modelu, nikoli pozorování lidí.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</si>
</sst>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223744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526775"/>
      <name val="Arial"/>
      <family val="2"/>
      <charset val="238"/>
    </font>
    <font>
      <b/>
      <sz val="16"/>
      <color rgb="FF223744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234F62"/>
        <bgColor indexed="64"/>
      </patternFill>
    </fill>
    <fill>
      <patternFill patternType="solid">
        <fgColor rgb="FFFFF1CB"/>
        <bgColor indexed="64"/>
      </patternFill>
    </fill>
    <fill>
      <patternFill patternType="solid">
        <fgColor rgb="FFEAF4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 wrapText="1"/>
    </xf>
    <xf numFmtId="2" fontId="1" fillId="3" borderId="0" xfId="0" applyNumberFormat="1" applyFont="1" applyFill="1" applyAlignment="1">
      <alignment vertical="center"/>
    </xf>
    <xf numFmtId="1" fontId="1" fillId="3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2" fontId="1" fillId="4" borderId="0" xfId="0" applyNumberFormat="1" applyFont="1" applyFill="1" applyAlignment="1">
      <alignment vertical="center"/>
    </xf>
    <xf numFmtId="0" fontId="3" fillId="0" borderId="0" xfId="0" applyNumberFormat="1" applyFont="1" applyAlignment="1">
      <alignment vertical="center"/>
    </xf>
    <xf numFmtId="1" fontId="1" fillId="4" borderId="0" xfId="0" applyNumberFormat="1" applyFont="1" applyFill="1" applyAlignment="1">
      <alignment vertical="center"/>
    </xf>
    <xf numFmtId="0" fontId="1" fillId="4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164" fontId="1" fillId="3" borderId="0" xfId="0" applyNumberFormat="1" applyFont="1" applyFill="1" applyAlignment="1">
      <alignment vertical="center" wrapText="1"/>
    </xf>
    <xf numFmtId="1" fontId="1" fillId="3" borderId="0" xfId="0" applyNumberFormat="1" applyFont="1" applyFill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9A4B-C158-4F52-8698-0602A4D4B2C5}">
  <dimension ref="A1:C28"/>
  <sheetViews>
    <sheetView showGridLines="0" tabSelected="1" workbookViewId="0">
      <pane ySplit="7" topLeftCell="A8" activePane="bottomLeft" state="frozenSplit"/>
      <selection pane="bottomLeft" sqref="A1:C1"/>
    </sheetView>
  </sheetViews>
  <sheetFormatPr defaultRowHeight="14.3" x14ac:dyDescent="0.25"/>
  <cols>
    <col min="1" max="2" width="25.625" customWidth="1"/>
    <col min="3" max="3" width="78.625" customWidth="1"/>
  </cols>
  <sheetData>
    <row r="1" spans="1:3" ht="30.1" customHeight="1" x14ac:dyDescent="0.25">
      <c r="A1" s="19" t="s">
        <v>144</v>
      </c>
      <c r="B1" s="17"/>
      <c r="C1" s="17"/>
    </row>
    <row r="2" spans="1:3" ht="30.1" customHeight="1" x14ac:dyDescent="0.25">
      <c r="A2" s="1"/>
      <c r="B2" s="1"/>
      <c r="C2" s="1"/>
    </row>
    <row r="3" spans="1:3" ht="30.1" customHeight="1" x14ac:dyDescent="0.25">
      <c r="A3" s="18" t="s">
        <v>145</v>
      </c>
      <c r="B3" s="17"/>
      <c r="C3" s="17"/>
    </row>
    <row r="4" spans="1:3" ht="30.1" customHeight="1" x14ac:dyDescent="0.25">
      <c r="A4" s="18" t="s">
        <v>146</v>
      </c>
      <c r="B4" s="17"/>
      <c r="C4" s="17"/>
    </row>
    <row r="5" spans="1:3" ht="30.1" customHeight="1" x14ac:dyDescent="0.25">
      <c r="A5" s="18" t="s">
        <v>185</v>
      </c>
      <c r="B5" s="17"/>
      <c r="C5" s="17"/>
    </row>
    <row r="6" spans="1:3" ht="30.1" customHeight="1" x14ac:dyDescent="0.25">
      <c r="A6" s="18" t="s">
        <v>186</v>
      </c>
      <c r="B6" s="17"/>
      <c r="C6" s="17"/>
    </row>
    <row r="7" spans="1:3" ht="30.1" customHeight="1" x14ac:dyDescent="0.25">
      <c r="A7" s="3" t="s">
        <v>147</v>
      </c>
      <c r="B7" s="3" t="s">
        <v>148</v>
      </c>
      <c r="C7" s="3" t="s">
        <v>149</v>
      </c>
    </row>
    <row r="8" spans="1:3" ht="30.1" customHeight="1" x14ac:dyDescent="0.25">
      <c r="A8" s="2" t="s">
        <v>150</v>
      </c>
      <c r="B8" s="2" t="s">
        <v>151</v>
      </c>
      <c r="C8" s="2" t="s">
        <v>67</v>
      </c>
    </row>
    <row r="9" spans="1:3" ht="30.1" customHeight="1" x14ac:dyDescent="0.25">
      <c r="A9" s="2" t="s">
        <v>152</v>
      </c>
      <c r="B9" s="2" t="s">
        <v>153</v>
      </c>
      <c r="C9" s="2" t="s">
        <v>73</v>
      </c>
    </row>
    <row r="10" spans="1:3" ht="30.1" customHeight="1" x14ac:dyDescent="0.25">
      <c r="A10" s="2" t="s">
        <v>154</v>
      </c>
      <c r="B10" s="2" t="s">
        <v>155</v>
      </c>
      <c r="C10" s="2" t="s">
        <v>82</v>
      </c>
    </row>
    <row r="11" spans="1:3" ht="30.1" customHeight="1" x14ac:dyDescent="0.25">
      <c r="A11" s="2" t="s">
        <v>156</v>
      </c>
      <c r="B11" s="2" t="s">
        <v>157</v>
      </c>
      <c r="C11" s="2" t="s">
        <v>91</v>
      </c>
    </row>
    <row r="12" spans="1:3" ht="30.1" customHeight="1" x14ac:dyDescent="0.25">
      <c r="A12" s="2" t="s">
        <v>158</v>
      </c>
      <c r="B12" s="2" t="s">
        <v>159</v>
      </c>
      <c r="C12" s="2" t="s">
        <v>94</v>
      </c>
    </row>
    <row r="13" spans="1:3" ht="30.1" customHeight="1" x14ac:dyDescent="0.25">
      <c r="A13" s="2" t="s">
        <v>160</v>
      </c>
      <c r="B13" s="2" t="s">
        <v>159</v>
      </c>
      <c r="C13" s="2" t="s">
        <v>99</v>
      </c>
    </row>
    <row r="14" spans="1:3" ht="30.1" customHeight="1" x14ac:dyDescent="0.25">
      <c r="A14" s="2" t="s">
        <v>161</v>
      </c>
      <c r="B14" s="2" t="s">
        <v>162</v>
      </c>
      <c r="C14" s="2" t="s">
        <v>102</v>
      </c>
    </row>
    <row r="15" spans="1:3" ht="30.1" customHeight="1" x14ac:dyDescent="0.25">
      <c r="A15" s="2" t="s">
        <v>163</v>
      </c>
      <c r="B15" s="2" t="s">
        <v>153</v>
      </c>
      <c r="C15" s="2" t="s">
        <v>105</v>
      </c>
    </row>
    <row r="16" spans="1:3" ht="30.1" customHeight="1" x14ac:dyDescent="0.25">
      <c r="A16" s="2" t="s">
        <v>164</v>
      </c>
      <c r="B16" s="2" t="s">
        <v>165</v>
      </c>
      <c r="C16" s="2" t="s">
        <v>107</v>
      </c>
    </row>
    <row r="17" spans="1:3" ht="30.1" customHeight="1" x14ac:dyDescent="0.25">
      <c r="A17" s="2" t="s">
        <v>166</v>
      </c>
      <c r="B17" s="2" t="s">
        <v>155</v>
      </c>
      <c r="C17" s="2" t="s">
        <v>119</v>
      </c>
    </row>
    <row r="18" spans="1:3" ht="30.1" customHeight="1" x14ac:dyDescent="0.25">
      <c r="A18" s="2" t="s">
        <v>167</v>
      </c>
      <c r="B18" s="2" t="s">
        <v>153</v>
      </c>
      <c r="C18" s="2" t="s">
        <v>125</v>
      </c>
    </row>
    <row r="19" spans="1:3" ht="30.1" customHeight="1" x14ac:dyDescent="0.25">
      <c r="A19" s="2" t="s">
        <v>168</v>
      </c>
      <c r="B19" s="2" t="s">
        <v>169</v>
      </c>
      <c r="C19" s="2" t="s">
        <v>128</v>
      </c>
    </row>
    <row r="20" spans="1:3" ht="30.1" customHeight="1" x14ac:dyDescent="0.25">
      <c r="A20" s="2" t="s">
        <v>170</v>
      </c>
      <c r="B20" s="2" t="s">
        <v>171</v>
      </c>
      <c r="C20" s="2" t="s">
        <v>139</v>
      </c>
    </row>
    <row r="21" spans="1:3" ht="30.1" customHeight="1" x14ac:dyDescent="0.25">
      <c r="A21" s="2" t="s">
        <v>172</v>
      </c>
      <c r="B21" s="2" t="s">
        <v>169</v>
      </c>
      <c r="C21" s="2" t="s">
        <v>142</v>
      </c>
    </row>
    <row r="22" spans="1:3" ht="30.1" customHeight="1" x14ac:dyDescent="0.25">
      <c r="A22" s="2" t="s">
        <v>173</v>
      </c>
      <c r="B22" s="2" t="s">
        <v>174</v>
      </c>
      <c r="C22" s="2" t="s">
        <v>175</v>
      </c>
    </row>
    <row r="23" spans="1:3" ht="30.1" customHeight="1" x14ac:dyDescent="0.25">
      <c r="A23" s="2" t="s">
        <v>176</v>
      </c>
      <c r="B23" s="2" t="s">
        <v>177</v>
      </c>
      <c r="C23" s="2" t="s">
        <v>178</v>
      </c>
    </row>
    <row r="24" spans="1:3" ht="30.1" customHeight="1" x14ac:dyDescent="0.25">
      <c r="A24" s="2" t="s">
        <v>179</v>
      </c>
      <c r="B24" s="2" t="s">
        <v>180</v>
      </c>
      <c r="C24" s="2" t="s">
        <v>181</v>
      </c>
    </row>
    <row r="25" spans="1:3" ht="30.1" customHeight="1" x14ac:dyDescent="0.25">
      <c r="A25" s="2" t="s">
        <v>182</v>
      </c>
      <c r="B25" s="2" t="s">
        <v>183</v>
      </c>
      <c r="C25" s="2" t="s">
        <v>184</v>
      </c>
    </row>
    <row r="26" spans="1:3" ht="30.1" customHeight="1" x14ac:dyDescent="0.25">
      <c r="A26" s="1"/>
      <c r="B26" s="1"/>
      <c r="C26" s="1"/>
    </row>
    <row r="27" spans="1:3" ht="30.1" customHeight="1" x14ac:dyDescent="0.25">
      <c r="A27" s="1"/>
      <c r="B27" s="1"/>
      <c r="C27" s="1"/>
    </row>
    <row r="28" spans="1:3" ht="30.1" customHeight="1" x14ac:dyDescent="0.25">
      <c r="A28" s="1"/>
      <c r="B28" s="1"/>
      <c r="C28" s="1"/>
    </row>
  </sheetData>
  <mergeCells count="5">
    <mergeCell ref="A1:C1"/>
    <mergeCell ref="A3:C3"/>
    <mergeCell ref="A4:C4"/>
    <mergeCell ref="A5:C5"/>
    <mergeCell ref="A6:C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D066-A6C9-491E-AFB1-2BFFBBE9F604}">
  <dimension ref="A1:F26"/>
  <sheetViews>
    <sheetView workbookViewId="0"/>
  </sheetViews>
  <sheetFormatPr defaultRowHeight="14.3" x14ac:dyDescent="0.25"/>
  <cols>
    <col min="1" max="1" width="50.625" customWidth="1"/>
    <col min="2" max="2" width="14.625" customWidth="1"/>
    <col min="3" max="3" width="3.625" customWidth="1"/>
    <col min="4" max="4" width="60.625" customWidth="1"/>
  </cols>
  <sheetData>
    <row r="1" spans="1:6" ht="34" customHeight="1" x14ac:dyDescent="0.25">
      <c r="A1" s="4" t="s">
        <v>0</v>
      </c>
      <c r="B1" s="4" t="s">
        <v>1</v>
      </c>
      <c r="C1" s="1"/>
      <c r="D1" s="1"/>
      <c r="E1" s="1"/>
      <c r="F1" s="1"/>
    </row>
    <row r="2" spans="1:6" x14ac:dyDescent="0.25">
      <c r="A2" s="2" t="s">
        <v>2</v>
      </c>
      <c r="B2" s="5">
        <v>46</v>
      </c>
      <c r="C2" s="1"/>
      <c r="D2" s="10" t="s">
        <v>11</v>
      </c>
      <c r="E2" s="1"/>
      <c r="F2" s="1"/>
    </row>
    <row r="3" spans="1:6" x14ac:dyDescent="0.25">
      <c r="A3" s="2" t="s">
        <v>3</v>
      </c>
      <c r="B3" s="5">
        <v>10</v>
      </c>
      <c r="C3" s="1"/>
      <c r="D3" s="10" t="s">
        <v>12</v>
      </c>
      <c r="E3" s="1"/>
      <c r="F3" s="1"/>
    </row>
    <row r="4" spans="1:6" x14ac:dyDescent="0.25">
      <c r="A4" s="2" t="s">
        <v>4</v>
      </c>
      <c r="B4" s="6">
        <v>25</v>
      </c>
      <c r="C4" s="1"/>
      <c r="D4" s="1"/>
      <c r="E4" s="1"/>
      <c r="F4" s="1"/>
    </row>
    <row r="5" spans="1:6" x14ac:dyDescent="0.25">
      <c r="A5" s="2" t="s">
        <v>5</v>
      </c>
      <c r="B5" s="5">
        <v>0.95</v>
      </c>
      <c r="C5" s="1"/>
      <c r="D5" s="10" t="s">
        <v>13</v>
      </c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2" t="s">
        <v>6</v>
      </c>
      <c r="B7" s="7">
        <f>B3/SQRT(B4)</f>
        <v>2</v>
      </c>
      <c r="C7" s="1"/>
      <c r="D7" s="1"/>
      <c r="E7" s="1"/>
      <c r="F7" s="1"/>
    </row>
    <row r="8" spans="1:6" x14ac:dyDescent="0.25">
      <c r="A8" s="2" t="s">
        <v>7</v>
      </c>
      <c r="B8" s="8">
        <f>_xlfn.NORM.S.INV(1-(1-B5)/2)</f>
        <v>1.9599639845400536</v>
      </c>
      <c r="C8" s="1"/>
      <c r="D8" s="10" t="s">
        <v>14</v>
      </c>
      <c r="E8" s="1"/>
      <c r="F8" s="1"/>
    </row>
    <row r="9" spans="1:6" x14ac:dyDescent="0.25">
      <c r="A9" s="2" t="s">
        <v>8</v>
      </c>
      <c r="B9" s="8">
        <f>B8*B7</f>
        <v>3.9199279690801072</v>
      </c>
      <c r="C9" s="1"/>
      <c r="D9" s="1"/>
      <c r="E9" s="1"/>
      <c r="F9" s="1"/>
    </row>
    <row r="10" spans="1:6" x14ac:dyDescent="0.25">
      <c r="A10" s="2" t="s">
        <v>9</v>
      </c>
      <c r="B10" s="9">
        <f>B2-B9</f>
        <v>42.080072030919894</v>
      </c>
      <c r="C10" s="1"/>
      <c r="D10" s="10" t="s">
        <v>15</v>
      </c>
      <c r="E10" s="1"/>
      <c r="F10" s="1"/>
    </row>
    <row r="11" spans="1:6" x14ac:dyDescent="0.25">
      <c r="A11" s="2" t="s">
        <v>10</v>
      </c>
      <c r="B11" s="9">
        <f>B2+B9</f>
        <v>49.919927969080106</v>
      </c>
      <c r="C11" s="1"/>
      <c r="D11" s="10" t="s">
        <v>16</v>
      </c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8AF2-67FB-426A-A4FE-EDEBBEDB623A}">
  <dimension ref="A1:F26"/>
  <sheetViews>
    <sheetView workbookViewId="0"/>
  </sheetViews>
  <sheetFormatPr defaultRowHeight="14.3" x14ac:dyDescent="0.25"/>
  <cols>
    <col min="1" max="1" width="50.625" customWidth="1"/>
    <col min="2" max="2" width="14.625" customWidth="1"/>
    <col min="3" max="3" width="3.625" customWidth="1"/>
    <col min="4" max="4" width="60.625" customWidth="1"/>
  </cols>
  <sheetData>
    <row r="1" spans="1:6" ht="34" customHeight="1" x14ac:dyDescent="0.25">
      <c r="A1" s="4" t="s">
        <v>17</v>
      </c>
      <c r="B1" s="4" t="s">
        <v>1</v>
      </c>
      <c r="C1" s="1"/>
      <c r="D1" s="1"/>
      <c r="E1" s="1"/>
      <c r="F1" s="1"/>
    </row>
    <row r="2" spans="1:6" x14ac:dyDescent="0.25">
      <c r="A2" s="2" t="s">
        <v>2</v>
      </c>
      <c r="B2" s="5">
        <v>46</v>
      </c>
      <c r="C2" s="1"/>
      <c r="D2" s="10" t="s">
        <v>11</v>
      </c>
      <c r="E2" s="1"/>
      <c r="F2" s="1"/>
    </row>
    <row r="3" spans="1:6" x14ac:dyDescent="0.25">
      <c r="A3" s="2" t="s">
        <v>18</v>
      </c>
      <c r="B3" s="5">
        <v>10</v>
      </c>
      <c r="C3" s="1"/>
      <c r="D3" s="10" t="s">
        <v>22</v>
      </c>
      <c r="E3" s="1"/>
      <c r="F3" s="1"/>
    </row>
    <row r="4" spans="1:6" x14ac:dyDescent="0.25">
      <c r="A4" s="2" t="s">
        <v>4</v>
      </c>
      <c r="B4" s="6">
        <v>25</v>
      </c>
      <c r="C4" s="1"/>
      <c r="D4" s="1"/>
      <c r="E4" s="1"/>
      <c r="F4" s="1"/>
    </row>
    <row r="5" spans="1:6" x14ac:dyDescent="0.25">
      <c r="A5" s="2" t="s">
        <v>5</v>
      </c>
      <c r="B5" s="5">
        <v>0.95</v>
      </c>
      <c r="C5" s="1"/>
      <c r="D5" s="10" t="s">
        <v>13</v>
      </c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2" t="s">
        <v>19</v>
      </c>
      <c r="B7" s="7">
        <f>B3/SQRT(B4)</f>
        <v>2</v>
      </c>
      <c r="C7" s="1"/>
      <c r="D7" s="1"/>
      <c r="E7" s="1"/>
      <c r="F7" s="1"/>
    </row>
    <row r="8" spans="1:6" x14ac:dyDescent="0.25">
      <c r="A8" s="2" t="s">
        <v>20</v>
      </c>
      <c r="B8" s="11">
        <f>B4-1</f>
        <v>24</v>
      </c>
      <c r="C8" s="1"/>
      <c r="D8" s="1"/>
      <c r="E8" s="1"/>
      <c r="F8" s="1"/>
    </row>
    <row r="9" spans="1:6" x14ac:dyDescent="0.25">
      <c r="A9" s="2" t="s">
        <v>21</v>
      </c>
      <c r="B9" s="8">
        <f>_xlfn.T.INV(1-(1-B5)/2,B8)</f>
        <v>2.0638985616280254</v>
      </c>
      <c r="C9" s="1"/>
      <c r="D9" s="10" t="s">
        <v>23</v>
      </c>
      <c r="E9" s="1"/>
      <c r="F9" s="1"/>
    </row>
    <row r="10" spans="1:6" x14ac:dyDescent="0.25">
      <c r="A10" s="2" t="s">
        <v>8</v>
      </c>
      <c r="B10" s="8">
        <f>B9*B7</f>
        <v>4.1277971232560509</v>
      </c>
      <c r="C10" s="1"/>
      <c r="D10" s="1"/>
      <c r="E10" s="1"/>
      <c r="F10" s="1"/>
    </row>
    <row r="11" spans="1:6" x14ac:dyDescent="0.25">
      <c r="A11" s="2" t="s">
        <v>9</v>
      </c>
      <c r="B11" s="9">
        <f>B2-B10</f>
        <v>41.872202876743948</v>
      </c>
      <c r="C11" s="1"/>
      <c r="D11" s="1"/>
      <c r="E11" s="1"/>
      <c r="F11" s="1"/>
    </row>
    <row r="12" spans="1:6" x14ac:dyDescent="0.25">
      <c r="A12" s="2" t="s">
        <v>10</v>
      </c>
      <c r="B12" s="9">
        <f>B2+B10</f>
        <v>50.127797123256052</v>
      </c>
      <c r="C12" s="1"/>
      <c r="D12" s="10" t="s">
        <v>24</v>
      </c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F264-1A85-4F94-A002-8609DF37571E}">
  <dimension ref="A1:F26"/>
  <sheetViews>
    <sheetView workbookViewId="0"/>
  </sheetViews>
  <sheetFormatPr defaultRowHeight="14.3" x14ac:dyDescent="0.25"/>
  <cols>
    <col min="1" max="1" width="50.625" customWidth="1"/>
    <col min="2" max="2" width="14.625" customWidth="1"/>
    <col min="3" max="3" width="3.625" customWidth="1"/>
    <col min="4" max="4" width="60.625" customWidth="1"/>
  </cols>
  <sheetData>
    <row r="1" spans="1:6" ht="34" customHeight="1" x14ac:dyDescent="0.25">
      <c r="A1" s="4" t="s">
        <v>25</v>
      </c>
      <c r="B1" s="4" t="s">
        <v>1</v>
      </c>
      <c r="C1" s="1"/>
      <c r="D1" s="1"/>
      <c r="E1" s="1"/>
      <c r="F1" s="1"/>
    </row>
    <row r="2" spans="1:6" x14ac:dyDescent="0.25">
      <c r="A2" s="2" t="s">
        <v>26</v>
      </c>
      <c r="B2" s="5">
        <v>50</v>
      </c>
      <c r="C2" s="1"/>
      <c r="D2" s="10" t="s">
        <v>11</v>
      </c>
      <c r="E2" s="1"/>
      <c r="F2" s="1"/>
    </row>
    <row r="3" spans="1:6" x14ac:dyDescent="0.25">
      <c r="A3" s="2" t="s">
        <v>2</v>
      </c>
      <c r="B3" s="5">
        <v>46</v>
      </c>
      <c r="C3" s="1"/>
      <c r="D3" s="1"/>
      <c r="E3" s="1"/>
      <c r="F3" s="1"/>
    </row>
    <row r="4" spans="1:6" x14ac:dyDescent="0.25">
      <c r="A4" s="2" t="s">
        <v>18</v>
      </c>
      <c r="B4" s="5">
        <v>10</v>
      </c>
      <c r="C4" s="1"/>
      <c r="D4" s="1"/>
      <c r="E4" s="1"/>
      <c r="F4" s="1"/>
    </row>
    <row r="5" spans="1:6" x14ac:dyDescent="0.25">
      <c r="A5" s="2" t="s">
        <v>4</v>
      </c>
      <c r="B5" s="6">
        <v>25</v>
      </c>
      <c r="C5" s="1"/>
      <c r="D5" s="1"/>
      <c r="E5" s="1"/>
      <c r="F5" s="1"/>
    </row>
    <row r="6" spans="1:6" x14ac:dyDescent="0.25">
      <c r="A6" s="2" t="s">
        <v>27</v>
      </c>
      <c r="B6" s="5">
        <v>0.05</v>
      </c>
      <c r="C6" s="1"/>
      <c r="D6" s="10" t="s">
        <v>13</v>
      </c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2" t="s">
        <v>19</v>
      </c>
      <c r="B8" s="7">
        <f>B4/SQRT(B5)</f>
        <v>2</v>
      </c>
      <c r="C8" s="1"/>
      <c r="D8" s="1"/>
      <c r="E8" s="1"/>
      <c r="F8" s="1"/>
    </row>
    <row r="9" spans="1:6" x14ac:dyDescent="0.25">
      <c r="A9" s="2" t="s">
        <v>20</v>
      </c>
      <c r="B9" s="11">
        <f>B5-1</f>
        <v>24</v>
      </c>
      <c r="C9" s="1"/>
      <c r="D9" s="1"/>
      <c r="E9" s="1"/>
      <c r="F9" s="1"/>
    </row>
    <row r="10" spans="1:6" x14ac:dyDescent="0.25">
      <c r="A10" s="2" t="s">
        <v>28</v>
      </c>
      <c r="B10" s="7">
        <f>(B3-B2)/B8</f>
        <v>-2</v>
      </c>
      <c r="C10" s="1"/>
      <c r="D10" s="1"/>
      <c r="E10" s="1"/>
      <c r="F10" s="1"/>
    </row>
    <row r="11" spans="1:6" x14ac:dyDescent="0.25">
      <c r="A11" s="2" t="s">
        <v>29</v>
      </c>
      <c r="B11" s="8">
        <f>_xlfn.T.DIST(B10,B9,TRUE)</f>
        <v>2.8469924968295798E-2</v>
      </c>
      <c r="C11" s="1"/>
      <c r="D11" s="10" t="s">
        <v>33</v>
      </c>
      <c r="E11" s="1"/>
      <c r="F11" s="1"/>
    </row>
    <row r="12" spans="1:6" x14ac:dyDescent="0.25">
      <c r="A12" s="2" t="s">
        <v>30</v>
      </c>
      <c r="B12" s="8">
        <f>1-_xlfn.T.DIST(B10,B9,TRUE)</f>
        <v>0.97153007503170419</v>
      </c>
      <c r="C12" s="1"/>
      <c r="D12" s="1"/>
      <c r="E12" s="1"/>
      <c r="F12" s="1"/>
    </row>
    <row r="13" spans="1:6" x14ac:dyDescent="0.25">
      <c r="A13" s="2" t="s">
        <v>31</v>
      </c>
      <c r="B13" s="8">
        <f>_xlfn.T.DIST.2T(ABS(B10),B9)</f>
        <v>5.6939849936591597E-2</v>
      </c>
      <c r="C13" s="1"/>
      <c r="D13" s="10" t="s">
        <v>34</v>
      </c>
      <c r="E13" s="1"/>
      <c r="F13" s="1"/>
    </row>
    <row r="14" spans="1:6" x14ac:dyDescent="0.25">
      <c r="A14" s="2" t="s">
        <v>32</v>
      </c>
      <c r="B14" s="8">
        <f>_xlfn.T.INV.2T(B6,B9)</f>
        <v>2.0638985616280254</v>
      </c>
      <c r="C14" s="1"/>
      <c r="D14" s="10" t="s">
        <v>35</v>
      </c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1AE6-2D51-4424-A332-1E1601357557}">
  <dimension ref="A1:F26"/>
  <sheetViews>
    <sheetView workbookViewId="0"/>
  </sheetViews>
  <sheetFormatPr defaultRowHeight="14.3" x14ac:dyDescent="0.25"/>
  <cols>
    <col min="1" max="1" width="56.625" customWidth="1"/>
    <col min="2" max="2" width="24.625" customWidth="1"/>
    <col min="3" max="3" width="3.625" customWidth="1"/>
    <col min="4" max="4" width="60.625" customWidth="1"/>
  </cols>
  <sheetData>
    <row r="1" spans="1:6" ht="34" customHeight="1" x14ac:dyDescent="0.25">
      <c r="A1" s="4" t="s">
        <v>36</v>
      </c>
      <c r="B1" s="4" t="s">
        <v>1</v>
      </c>
      <c r="C1" s="1"/>
      <c r="D1" s="1"/>
      <c r="E1" s="1"/>
      <c r="F1" s="1"/>
    </row>
    <row r="2" spans="1:6" x14ac:dyDescent="0.25">
      <c r="A2" s="2" t="s">
        <v>37</v>
      </c>
      <c r="B2" s="5">
        <v>50</v>
      </c>
      <c r="C2" s="1"/>
      <c r="D2" s="10" t="s">
        <v>53</v>
      </c>
      <c r="E2" s="1"/>
      <c r="F2" s="1"/>
    </row>
    <row r="3" spans="1:6" x14ac:dyDescent="0.25">
      <c r="A3" s="2" t="s">
        <v>38</v>
      </c>
      <c r="B3" s="5">
        <v>3</v>
      </c>
      <c r="C3" s="1"/>
      <c r="D3" s="10" t="s">
        <v>54</v>
      </c>
      <c r="E3" s="1"/>
      <c r="F3" s="1"/>
    </row>
    <row r="4" spans="1:6" x14ac:dyDescent="0.25">
      <c r="A4" s="2" t="s">
        <v>2</v>
      </c>
      <c r="B4" s="5">
        <v>48.5</v>
      </c>
      <c r="C4" s="1"/>
      <c r="D4" s="1"/>
      <c r="E4" s="1"/>
      <c r="F4" s="1"/>
    </row>
    <row r="5" spans="1:6" x14ac:dyDescent="0.25">
      <c r="A5" s="2" t="s">
        <v>18</v>
      </c>
      <c r="B5" s="5">
        <v>10</v>
      </c>
      <c r="C5" s="1"/>
      <c r="D5" s="1"/>
      <c r="E5" s="1"/>
      <c r="F5" s="1"/>
    </row>
    <row r="6" spans="1:6" x14ac:dyDescent="0.25">
      <c r="A6" s="2" t="s">
        <v>4</v>
      </c>
      <c r="B6" s="6">
        <v>400</v>
      </c>
      <c r="C6" s="1"/>
      <c r="D6" s="1"/>
      <c r="E6" s="1"/>
      <c r="F6" s="1"/>
    </row>
    <row r="7" spans="1:6" x14ac:dyDescent="0.25">
      <c r="A7" s="2" t="s">
        <v>27</v>
      </c>
      <c r="B7" s="5">
        <v>0.05</v>
      </c>
      <c r="C7" s="1"/>
      <c r="D7" s="10" t="s">
        <v>13</v>
      </c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2" t="s">
        <v>19</v>
      </c>
      <c r="B9" s="7">
        <f>B5/SQRT(B6)</f>
        <v>0.5</v>
      </c>
      <c r="C9" s="1"/>
      <c r="D9" s="1"/>
      <c r="E9" s="1"/>
      <c r="F9" s="1"/>
    </row>
    <row r="10" spans="1:6" x14ac:dyDescent="0.25">
      <c r="A10" s="2" t="s">
        <v>20</v>
      </c>
      <c r="B10" s="11">
        <f>B6-1</f>
        <v>399</v>
      </c>
      <c r="C10" s="1"/>
      <c r="D10" s="1"/>
      <c r="E10" s="1"/>
      <c r="F10" s="1"/>
    </row>
    <row r="11" spans="1:6" x14ac:dyDescent="0.25">
      <c r="A11" s="2" t="s">
        <v>39</v>
      </c>
      <c r="B11" s="9">
        <f>B2-B3</f>
        <v>47</v>
      </c>
      <c r="C11" s="1"/>
      <c r="D11" s="1"/>
      <c r="E11" s="1"/>
      <c r="F11" s="1"/>
    </row>
    <row r="12" spans="1:6" x14ac:dyDescent="0.25">
      <c r="A12" s="2" t="s">
        <v>40</v>
      </c>
      <c r="B12" s="9">
        <f>B2+B3</f>
        <v>53</v>
      </c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2" t="s">
        <v>41</v>
      </c>
      <c r="B14" s="9">
        <f>B4-_xlfn.T.INV(1-B7/2,B10)*B9</f>
        <v>47.517036352039554</v>
      </c>
      <c r="C14" s="1"/>
      <c r="D14" s="10" t="s">
        <v>55</v>
      </c>
      <c r="E14" s="1"/>
      <c r="F14" s="1"/>
    </row>
    <row r="15" spans="1:6" x14ac:dyDescent="0.25">
      <c r="A15" s="2" t="s">
        <v>42</v>
      </c>
      <c r="B15" s="9">
        <f>B4+_xlfn.T.INV(1-B7/2,B10)*B9</f>
        <v>49.482963647960446</v>
      </c>
      <c r="C15" s="1"/>
      <c r="D15" s="1"/>
      <c r="E15" s="1"/>
      <c r="F15" s="1"/>
    </row>
    <row r="16" spans="1:6" x14ac:dyDescent="0.25">
      <c r="A16" s="2" t="s">
        <v>43</v>
      </c>
      <c r="B16" s="8">
        <f>_xlfn.T.DIST.2T(ABS((B4-B2)/B9),B10)</f>
        <v>2.8691391789045844E-3</v>
      </c>
      <c r="C16" s="1"/>
      <c r="D16" s="1"/>
      <c r="E16" s="1"/>
      <c r="F16" s="1"/>
    </row>
    <row r="17" spans="1:6" x14ac:dyDescent="0.25">
      <c r="A17" s="2" t="s">
        <v>44</v>
      </c>
      <c r="B17" s="12" t="str">
        <f>IF(B16&lt;=B7,"zamítáme nulovou hypotézu","nulovou hypotézu nezamítáme")</f>
        <v>zamítáme nulovou hypotézu</v>
      </c>
      <c r="C17" s="1"/>
      <c r="D17" s="1"/>
      <c r="E17" s="1"/>
      <c r="F17" s="1"/>
    </row>
    <row r="18" spans="1:6" x14ac:dyDescent="0.25">
      <c r="A18" s="2" t="s">
        <v>45</v>
      </c>
      <c r="B18" s="9">
        <f>B4-_xlfn.T.INV(1-B7,B10)*B9</f>
        <v>47.675659233222284</v>
      </c>
      <c r="C18" s="1"/>
      <c r="D18" s="10" t="s">
        <v>56</v>
      </c>
      <c r="E18" s="1"/>
      <c r="F18" s="1"/>
    </row>
    <row r="19" spans="1:6" x14ac:dyDescent="0.25">
      <c r="A19" s="2" t="s">
        <v>46</v>
      </c>
      <c r="B19" s="9">
        <f>B4+_xlfn.T.INV(1-B7,B10)*B9</f>
        <v>49.324340766777716</v>
      </c>
      <c r="C19" s="1"/>
      <c r="D19" s="10" t="s">
        <v>57</v>
      </c>
      <c r="E19" s="1"/>
      <c r="F19" s="1"/>
    </row>
    <row r="20" spans="1:6" x14ac:dyDescent="0.25">
      <c r="A20" s="2" t="s">
        <v>47</v>
      </c>
      <c r="B20" s="12" t="str">
        <f>IF(AND(B18&gt;B11,B19&lt;B12),"ekvivalence doložena","ekvivalence nedoložena")</f>
        <v>ekvivalence doložena</v>
      </c>
      <c r="C20" s="1"/>
      <c r="D20" s="10" t="s">
        <v>58</v>
      </c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2" t="s">
        <v>48</v>
      </c>
      <c r="B22" s="7">
        <f>(B4-B11)/B9</f>
        <v>3</v>
      </c>
      <c r="C22" s="1"/>
      <c r="D22" s="1"/>
      <c r="E22" s="1"/>
      <c r="F22" s="1"/>
    </row>
    <row r="23" spans="1:6" x14ac:dyDescent="0.25">
      <c r="A23" s="2" t="s">
        <v>49</v>
      </c>
      <c r="B23" s="8">
        <f>1-_xlfn.T.DIST(B22,B10,TRUE)</f>
        <v>1.4345695894523169E-3</v>
      </c>
      <c r="C23" s="1"/>
      <c r="D23" s="1"/>
      <c r="E23" s="1"/>
      <c r="F23" s="1"/>
    </row>
    <row r="24" spans="1:6" x14ac:dyDescent="0.25">
      <c r="A24" s="2" t="s">
        <v>50</v>
      </c>
      <c r="B24" s="7">
        <f>(B4-B12)/B9</f>
        <v>-9</v>
      </c>
      <c r="C24" s="1"/>
      <c r="D24" s="1"/>
      <c r="E24" s="1"/>
      <c r="F24" s="1"/>
    </row>
    <row r="25" spans="1:6" x14ac:dyDescent="0.25">
      <c r="A25" s="2" t="s">
        <v>51</v>
      </c>
      <c r="B25" s="8">
        <f>_xlfn.T.DIST(B24,B10,TRUE)</f>
        <v>4.6538715043555148E-18</v>
      </c>
      <c r="C25" s="1"/>
      <c r="D25" s="1"/>
      <c r="E25" s="1"/>
      <c r="F25" s="1"/>
    </row>
    <row r="26" spans="1:6" x14ac:dyDescent="0.25">
      <c r="A26" s="2" t="s">
        <v>52</v>
      </c>
      <c r="B26" s="8">
        <f>MAX(B23,B25)</f>
        <v>1.4345695894523169E-3</v>
      </c>
      <c r="C26" s="1"/>
      <c r="D26" s="10" t="s">
        <v>59</v>
      </c>
      <c r="E26" s="1"/>
      <c r="F26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52D5-1606-4B91-B60B-D8F35EB6E9CB}">
  <dimension ref="A1:D8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8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61</v>
      </c>
      <c r="B2" s="13">
        <v>50</v>
      </c>
      <c r="D2" s="16" t="s">
        <v>67</v>
      </c>
    </row>
    <row r="3" spans="1:4" ht="25" customHeight="1" x14ac:dyDescent="0.25">
      <c r="A3" s="13" t="s">
        <v>62</v>
      </c>
      <c r="B3" s="13">
        <v>10</v>
      </c>
      <c r="D3" s="15"/>
    </row>
    <row r="4" spans="1:4" ht="25" customHeight="1" x14ac:dyDescent="0.25">
      <c r="A4" s="13" t="s">
        <v>63</v>
      </c>
      <c r="B4" s="13">
        <v>25</v>
      </c>
      <c r="D4" s="16" t="s">
        <v>68</v>
      </c>
    </row>
    <row r="5" spans="1:4" ht="25" customHeight="1" x14ac:dyDescent="0.25">
      <c r="A5" s="13" t="s">
        <v>64</v>
      </c>
      <c r="B5" s="13">
        <v>46</v>
      </c>
      <c r="D5" s="15"/>
    </row>
    <row r="6" spans="1:4" ht="25" customHeight="1" x14ac:dyDescent="0.25">
      <c r="A6" s="13" t="s">
        <v>65</v>
      </c>
      <c r="B6" s="13">
        <v>10</v>
      </c>
      <c r="D6" s="15"/>
    </row>
    <row r="7" spans="1:4" ht="25" customHeight="1" x14ac:dyDescent="0.25">
      <c r="A7" s="13" t="s">
        <v>5</v>
      </c>
      <c r="B7" s="13">
        <v>0.95</v>
      </c>
      <c r="D7" s="15"/>
    </row>
    <row r="8" spans="1:4" ht="25" customHeight="1" x14ac:dyDescent="0.25">
      <c r="A8" s="13" t="s">
        <v>27</v>
      </c>
      <c r="B8" s="13">
        <v>0.05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0A13-6028-43F1-A4D6-D02C1FA58F4F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0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69</v>
      </c>
      <c r="B2" s="13">
        <v>100</v>
      </c>
      <c r="D2" s="16" t="s">
        <v>73</v>
      </c>
    </row>
    <row r="3" spans="1:4" ht="25" customHeight="1" x14ac:dyDescent="0.25">
      <c r="A3" s="13" t="s">
        <v>70</v>
      </c>
      <c r="B3" s="13">
        <v>56</v>
      </c>
      <c r="D3" s="15"/>
    </row>
    <row r="4" spans="1:4" ht="25" customHeight="1" x14ac:dyDescent="0.25">
      <c r="A4" s="13" t="s">
        <v>71</v>
      </c>
      <c r="B4" s="13">
        <v>104.125</v>
      </c>
      <c r="D4" s="16" t="s">
        <v>74</v>
      </c>
    </row>
    <row r="5" spans="1:4" ht="25" customHeight="1" x14ac:dyDescent="0.25">
      <c r="A5" s="13" t="s">
        <v>72</v>
      </c>
      <c r="B5" s="13">
        <v>12.584</v>
      </c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2FD0-A9FD-4A8F-9FE6-B8A115519E37}">
  <dimension ref="A1:F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4" width="22.625" customWidth="1"/>
    <col min="6" max="6" width="60.625" customWidth="1"/>
  </cols>
  <sheetData>
    <row r="1" spans="1:6" ht="46.05" customHeight="1" x14ac:dyDescent="0.25">
      <c r="A1" s="4" t="s">
        <v>75</v>
      </c>
      <c r="B1" s="4" t="s">
        <v>64</v>
      </c>
      <c r="C1" s="4" t="s">
        <v>76</v>
      </c>
      <c r="D1" s="4" t="s">
        <v>63</v>
      </c>
      <c r="F1" s="14" t="s">
        <v>66</v>
      </c>
    </row>
    <row r="2" spans="1:6" ht="25" customHeight="1" x14ac:dyDescent="0.25">
      <c r="A2" s="13" t="s">
        <v>77</v>
      </c>
      <c r="B2" s="13">
        <v>46</v>
      </c>
      <c r="C2" s="13">
        <v>10</v>
      </c>
      <c r="D2" s="13">
        <v>25</v>
      </c>
      <c r="F2" s="16" t="s">
        <v>82</v>
      </c>
    </row>
    <row r="3" spans="1:6" ht="25" customHeight="1" x14ac:dyDescent="0.25">
      <c r="A3" s="13" t="s">
        <v>78</v>
      </c>
      <c r="B3" s="13">
        <v>48.5</v>
      </c>
      <c r="C3" s="13">
        <v>10</v>
      </c>
      <c r="D3" s="13">
        <v>400</v>
      </c>
      <c r="F3" s="15"/>
    </row>
    <row r="4" spans="1:6" ht="25" customHeight="1" x14ac:dyDescent="0.25">
      <c r="A4" s="13" t="s">
        <v>79</v>
      </c>
      <c r="B4" s="13">
        <v>50.4</v>
      </c>
      <c r="C4" s="13">
        <v>10</v>
      </c>
      <c r="D4" s="13">
        <v>400</v>
      </c>
      <c r="F4" s="16" t="s">
        <v>83</v>
      </c>
    </row>
    <row r="5" spans="1:6" ht="25" customHeight="1" x14ac:dyDescent="0.25">
      <c r="A5" s="13" t="s">
        <v>80</v>
      </c>
      <c r="B5" s="13">
        <v>44</v>
      </c>
      <c r="C5" s="13">
        <v>10</v>
      </c>
      <c r="D5" s="13">
        <v>100</v>
      </c>
      <c r="F5" s="15"/>
    </row>
    <row r="6" spans="1:6" ht="25" customHeight="1" x14ac:dyDescent="0.25">
      <c r="A6" s="13" t="s">
        <v>81</v>
      </c>
      <c r="B6" s="13">
        <v>47</v>
      </c>
      <c r="C6" s="13">
        <v>10</v>
      </c>
      <c r="D6" s="13">
        <v>100</v>
      </c>
      <c r="F6" s="15"/>
    </row>
    <row r="7" spans="1:6" x14ac:dyDescent="0.25">
      <c r="F7" s="15"/>
    </row>
  </sheetData>
  <mergeCells count="2">
    <mergeCell ref="F2:F3"/>
    <mergeCell ref="F4:F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5758-F30E-401D-9314-0B3AC19958E4}">
  <dimension ref="A1:J10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8" width="22.625" customWidth="1"/>
    <col min="10" max="10" width="60.625" customWidth="1"/>
  </cols>
  <sheetData>
    <row r="1" spans="1:10" ht="46.05" customHeight="1" x14ac:dyDescent="0.25">
      <c r="A1" s="4" t="s">
        <v>84</v>
      </c>
      <c r="B1" s="4" t="s">
        <v>76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J1" s="14" t="s">
        <v>66</v>
      </c>
    </row>
    <row r="2" spans="1:10" ht="25" customHeight="1" x14ac:dyDescent="0.25">
      <c r="A2" s="20">
        <v>48.058999999999997</v>
      </c>
      <c r="B2" s="20">
        <v>10.952</v>
      </c>
      <c r="C2" s="20">
        <v>44.14</v>
      </c>
      <c r="D2" s="20">
        <v>51.978999999999999</v>
      </c>
      <c r="E2" s="21">
        <v>1</v>
      </c>
      <c r="F2" s="20">
        <v>43.539000000000001</v>
      </c>
      <c r="G2" s="20">
        <v>52.58</v>
      </c>
      <c r="H2" s="21">
        <v>1</v>
      </c>
      <c r="J2" s="16" t="s">
        <v>91</v>
      </c>
    </row>
    <row r="3" spans="1:10" ht="25" customHeight="1" x14ac:dyDescent="0.25">
      <c r="A3" s="20">
        <v>44.823</v>
      </c>
      <c r="B3" s="20">
        <v>10.125</v>
      </c>
      <c r="C3" s="20">
        <v>40.902999999999999</v>
      </c>
      <c r="D3" s="20">
        <v>48.743000000000002</v>
      </c>
      <c r="E3" s="21">
        <v>1</v>
      </c>
      <c r="F3" s="20">
        <v>40.643000000000001</v>
      </c>
      <c r="G3" s="20">
        <v>49.002000000000002</v>
      </c>
      <c r="H3" s="21">
        <v>1</v>
      </c>
      <c r="J3" s="15"/>
    </row>
    <row r="4" spans="1:10" ht="25" customHeight="1" x14ac:dyDescent="0.25">
      <c r="A4" s="20">
        <v>46.776000000000003</v>
      </c>
      <c r="B4" s="20">
        <v>6.7850000000000001</v>
      </c>
      <c r="C4" s="20">
        <v>42.856000000000002</v>
      </c>
      <c r="D4" s="20">
        <v>50.695999999999998</v>
      </c>
      <c r="E4" s="21">
        <v>1</v>
      </c>
      <c r="F4" s="20">
        <v>43.975000000000001</v>
      </c>
      <c r="G4" s="20">
        <v>49.576999999999998</v>
      </c>
      <c r="H4" s="21">
        <v>1</v>
      </c>
      <c r="J4" s="16" t="s">
        <v>92</v>
      </c>
    </row>
    <row r="5" spans="1:10" ht="25" customHeight="1" x14ac:dyDescent="0.25">
      <c r="A5" s="20">
        <v>44.707999999999998</v>
      </c>
      <c r="B5" s="20">
        <v>8.3079999999999998</v>
      </c>
      <c r="C5" s="20">
        <v>40.787999999999997</v>
      </c>
      <c r="D5" s="20">
        <v>48.628</v>
      </c>
      <c r="E5" s="21">
        <v>1</v>
      </c>
      <c r="F5" s="20">
        <v>41.277999999999999</v>
      </c>
      <c r="G5" s="20">
        <v>48.137</v>
      </c>
      <c r="H5" s="21">
        <v>1</v>
      </c>
      <c r="J5" s="15"/>
    </row>
    <row r="6" spans="1:10" ht="25" customHeight="1" x14ac:dyDescent="0.25">
      <c r="A6" s="20">
        <v>45.088999999999999</v>
      </c>
      <c r="B6" s="20">
        <v>8.8420000000000005</v>
      </c>
      <c r="C6" s="20">
        <v>41.168999999999997</v>
      </c>
      <c r="D6" s="20">
        <v>49.009</v>
      </c>
      <c r="E6" s="21">
        <v>1</v>
      </c>
      <c r="F6" s="20">
        <v>41.439</v>
      </c>
      <c r="G6" s="20">
        <v>48.738999999999997</v>
      </c>
      <c r="H6" s="21">
        <v>1</v>
      </c>
      <c r="J6" s="15"/>
    </row>
    <row r="7" spans="1:10" ht="25" customHeight="1" x14ac:dyDescent="0.25">
      <c r="A7" s="20">
        <v>45.948999999999998</v>
      </c>
      <c r="B7" s="20">
        <v>7.9770000000000003</v>
      </c>
      <c r="C7" s="20">
        <v>42.029000000000003</v>
      </c>
      <c r="D7" s="20">
        <v>49.869</v>
      </c>
      <c r="E7" s="21">
        <v>1</v>
      </c>
      <c r="F7" s="20">
        <v>42.655999999999999</v>
      </c>
      <c r="G7" s="20">
        <v>49.241999999999997</v>
      </c>
      <c r="H7" s="21">
        <v>1</v>
      </c>
      <c r="J7" s="15"/>
    </row>
    <row r="8" spans="1:10" ht="25" customHeight="1" x14ac:dyDescent="0.25">
      <c r="A8" s="20">
        <v>45.710999999999999</v>
      </c>
      <c r="B8" s="20">
        <v>9.7110000000000003</v>
      </c>
      <c r="C8" s="20">
        <v>41.790999999999997</v>
      </c>
      <c r="D8" s="20">
        <v>49.631</v>
      </c>
      <c r="E8" s="21">
        <v>1</v>
      </c>
      <c r="F8" s="20">
        <v>41.701999999999998</v>
      </c>
      <c r="G8" s="20">
        <v>49.719000000000001</v>
      </c>
      <c r="H8" s="21">
        <v>1</v>
      </c>
    </row>
    <row r="9" spans="1:10" ht="25" customHeight="1" x14ac:dyDescent="0.25">
      <c r="A9" s="20">
        <v>47.033000000000001</v>
      </c>
      <c r="B9" s="20">
        <v>11.488</v>
      </c>
      <c r="C9" s="20">
        <v>43.113</v>
      </c>
      <c r="D9" s="20">
        <v>50.953000000000003</v>
      </c>
      <c r="E9" s="21">
        <v>1</v>
      </c>
      <c r="F9" s="20">
        <v>42.290999999999997</v>
      </c>
      <c r="G9" s="20">
        <v>51.774999999999999</v>
      </c>
      <c r="H9" s="21">
        <v>1</v>
      </c>
    </row>
    <row r="10" spans="1:10" ht="25" customHeight="1" x14ac:dyDescent="0.25">
      <c r="A10" s="20">
        <v>43.753</v>
      </c>
      <c r="B10" s="20">
        <v>8.61</v>
      </c>
      <c r="C10" s="20">
        <v>39.832999999999998</v>
      </c>
      <c r="D10" s="20">
        <v>47.673000000000002</v>
      </c>
      <c r="E10" s="21">
        <v>1</v>
      </c>
      <c r="F10" s="20">
        <v>40.198999999999998</v>
      </c>
      <c r="G10" s="20">
        <v>47.307000000000002</v>
      </c>
      <c r="H10" s="21">
        <v>1</v>
      </c>
    </row>
    <row r="11" spans="1:10" ht="25" customHeight="1" x14ac:dyDescent="0.25">
      <c r="A11" s="20">
        <v>50.189</v>
      </c>
      <c r="B11" s="20">
        <v>9.3789999999999996</v>
      </c>
      <c r="C11" s="20">
        <v>46.27</v>
      </c>
      <c r="D11" s="20">
        <v>54.109000000000002</v>
      </c>
      <c r="E11" s="21">
        <v>1</v>
      </c>
      <c r="F11" s="20">
        <v>46.317999999999998</v>
      </c>
      <c r="G11" s="20">
        <v>54.061</v>
      </c>
      <c r="H11" s="21">
        <v>1</v>
      </c>
    </row>
    <row r="12" spans="1:10" ht="25" customHeight="1" x14ac:dyDescent="0.25">
      <c r="A12" s="20">
        <v>49.22</v>
      </c>
      <c r="B12" s="20">
        <v>8.2650000000000006</v>
      </c>
      <c r="C12" s="20">
        <v>45.3</v>
      </c>
      <c r="D12" s="20">
        <v>53.14</v>
      </c>
      <c r="E12" s="21">
        <v>1</v>
      </c>
      <c r="F12" s="20">
        <v>45.808</v>
      </c>
      <c r="G12" s="20">
        <v>52.631</v>
      </c>
      <c r="H12" s="21">
        <v>1</v>
      </c>
    </row>
    <row r="13" spans="1:10" ht="25" customHeight="1" x14ac:dyDescent="0.25">
      <c r="A13" s="20">
        <v>49.326999999999998</v>
      </c>
      <c r="B13" s="20">
        <v>9.4359999999999999</v>
      </c>
      <c r="C13" s="20">
        <v>45.406999999999996</v>
      </c>
      <c r="D13" s="20">
        <v>53.247</v>
      </c>
      <c r="E13" s="21">
        <v>1</v>
      </c>
      <c r="F13" s="20">
        <v>45.432000000000002</v>
      </c>
      <c r="G13" s="20">
        <v>53.222000000000001</v>
      </c>
      <c r="H13" s="21">
        <v>1</v>
      </c>
    </row>
    <row r="14" spans="1:10" ht="25" customHeight="1" x14ac:dyDescent="0.25">
      <c r="A14" s="20">
        <v>44.134</v>
      </c>
      <c r="B14" s="20">
        <v>7.6269999999999998</v>
      </c>
      <c r="C14" s="20">
        <v>40.213999999999999</v>
      </c>
      <c r="D14" s="20">
        <v>48.054000000000002</v>
      </c>
      <c r="E14" s="21">
        <v>1</v>
      </c>
      <c r="F14" s="20">
        <v>40.985999999999997</v>
      </c>
      <c r="G14" s="20">
        <v>47.281999999999996</v>
      </c>
      <c r="H14" s="21">
        <v>1</v>
      </c>
    </row>
    <row r="15" spans="1:10" ht="25" customHeight="1" x14ac:dyDescent="0.25">
      <c r="A15" s="20">
        <v>46.744</v>
      </c>
      <c r="B15" s="20">
        <v>10.616</v>
      </c>
      <c r="C15" s="20">
        <v>42.823999999999998</v>
      </c>
      <c r="D15" s="20">
        <v>50.664000000000001</v>
      </c>
      <c r="E15" s="21">
        <v>1</v>
      </c>
      <c r="F15" s="20">
        <v>42.360999999999997</v>
      </c>
      <c r="G15" s="20">
        <v>51.125999999999998</v>
      </c>
      <c r="H15" s="21">
        <v>1</v>
      </c>
    </row>
    <row r="16" spans="1:10" ht="25" customHeight="1" x14ac:dyDescent="0.25">
      <c r="A16" s="20">
        <v>43.478999999999999</v>
      </c>
      <c r="B16" s="20">
        <v>9.6159999999999997</v>
      </c>
      <c r="C16" s="20">
        <v>39.558999999999997</v>
      </c>
      <c r="D16" s="20">
        <v>47.399000000000001</v>
      </c>
      <c r="E16" s="21">
        <v>1</v>
      </c>
      <c r="F16" s="20">
        <v>39.509</v>
      </c>
      <c r="G16" s="20">
        <v>47.448</v>
      </c>
      <c r="H16" s="21">
        <v>1</v>
      </c>
    </row>
    <row r="17" spans="1:8" ht="25" customHeight="1" x14ac:dyDescent="0.25">
      <c r="A17" s="20">
        <v>45.753999999999998</v>
      </c>
      <c r="B17" s="20">
        <v>11.154999999999999</v>
      </c>
      <c r="C17" s="20">
        <v>41.834000000000003</v>
      </c>
      <c r="D17" s="20">
        <v>49.673999999999999</v>
      </c>
      <c r="E17" s="21">
        <v>1</v>
      </c>
      <c r="F17" s="20">
        <v>41.149000000000001</v>
      </c>
      <c r="G17" s="20">
        <v>50.357999999999997</v>
      </c>
      <c r="H17" s="21">
        <v>1</v>
      </c>
    </row>
    <row r="18" spans="1:8" ht="25" customHeight="1" x14ac:dyDescent="0.25">
      <c r="A18" s="20">
        <v>45.808999999999997</v>
      </c>
      <c r="B18" s="20">
        <v>9.8130000000000006</v>
      </c>
      <c r="C18" s="20">
        <v>41.889000000000003</v>
      </c>
      <c r="D18" s="20">
        <v>49.728999999999999</v>
      </c>
      <c r="E18" s="21">
        <v>1</v>
      </c>
      <c r="F18" s="20">
        <v>41.758000000000003</v>
      </c>
      <c r="G18" s="20">
        <v>49.859000000000002</v>
      </c>
      <c r="H18" s="21">
        <v>1</v>
      </c>
    </row>
    <row r="19" spans="1:8" ht="25" customHeight="1" x14ac:dyDescent="0.25">
      <c r="A19" s="20">
        <v>49.216999999999999</v>
      </c>
      <c r="B19" s="20">
        <v>10.031000000000001</v>
      </c>
      <c r="C19" s="20">
        <v>45.296999999999997</v>
      </c>
      <c r="D19" s="20">
        <v>53.137</v>
      </c>
      <c r="E19" s="21">
        <v>1</v>
      </c>
      <c r="F19" s="20">
        <v>45.076000000000001</v>
      </c>
      <c r="G19" s="20">
        <v>53.356999999999999</v>
      </c>
      <c r="H19" s="21">
        <v>1</v>
      </c>
    </row>
    <row r="20" spans="1:8" ht="25" customHeight="1" x14ac:dyDescent="0.25">
      <c r="A20" s="20">
        <v>46.570999999999998</v>
      </c>
      <c r="B20" s="20">
        <v>9.8109999999999999</v>
      </c>
      <c r="C20" s="20">
        <v>42.651000000000003</v>
      </c>
      <c r="D20" s="20">
        <v>50.491</v>
      </c>
      <c r="E20" s="21">
        <v>1</v>
      </c>
      <c r="F20" s="20">
        <v>42.521999999999998</v>
      </c>
      <c r="G20" s="20">
        <v>50.621000000000002</v>
      </c>
      <c r="H20" s="21">
        <v>1</v>
      </c>
    </row>
    <row r="21" spans="1:8" ht="25" customHeight="1" x14ac:dyDescent="0.25">
      <c r="A21" s="20">
        <v>42.893999999999998</v>
      </c>
      <c r="B21" s="20">
        <v>11.667</v>
      </c>
      <c r="C21" s="20">
        <v>38.973999999999997</v>
      </c>
      <c r="D21" s="20">
        <v>46.814</v>
      </c>
      <c r="E21" s="21">
        <v>0</v>
      </c>
      <c r="F21" s="20">
        <v>38.079000000000001</v>
      </c>
      <c r="G21" s="20">
        <v>47.71</v>
      </c>
      <c r="H21" s="21">
        <v>1</v>
      </c>
    </row>
    <row r="22" spans="1:8" ht="25" customHeight="1" x14ac:dyDescent="0.25">
      <c r="A22" s="20">
        <v>51.426000000000002</v>
      </c>
      <c r="B22" s="20">
        <v>10.516</v>
      </c>
      <c r="C22" s="20">
        <v>47.506</v>
      </c>
      <c r="D22" s="20">
        <v>55.345999999999997</v>
      </c>
      <c r="E22" s="21">
        <v>0</v>
      </c>
      <c r="F22" s="20">
        <v>47.085000000000001</v>
      </c>
      <c r="G22" s="20">
        <v>55.765999999999998</v>
      </c>
      <c r="H22" s="21">
        <v>0</v>
      </c>
    </row>
    <row r="23" spans="1:8" ht="25" customHeight="1" x14ac:dyDescent="0.25">
      <c r="A23" s="20">
        <v>42.328000000000003</v>
      </c>
      <c r="B23" s="20">
        <v>12.051</v>
      </c>
      <c r="C23" s="20">
        <v>38.408000000000001</v>
      </c>
      <c r="D23" s="20">
        <v>46.247999999999998</v>
      </c>
      <c r="E23" s="21">
        <v>0</v>
      </c>
      <c r="F23" s="20">
        <v>37.353999999999999</v>
      </c>
      <c r="G23" s="20">
        <v>47.302999999999997</v>
      </c>
      <c r="H23" s="21">
        <v>1</v>
      </c>
    </row>
    <row r="24" spans="1:8" ht="25" customHeight="1" x14ac:dyDescent="0.25">
      <c r="A24" s="20">
        <v>48.484000000000002</v>
      </c>
      <c r="B24" s="20">
        <v>13.532</v>
      </c>
      <c r="C24" s="20">
        <v>44.564</v>
      </c>
      <c r="D24" s="20">
        <v>52.404000000000003</v>
      </c>
      <c r="E24" s="21">
        <v>1</v>
      </c>
      <c r="F24" s="20">
        <v>42.898000000000003</v>
      </c>
      <c r="G24" s="20">
        <v>54.07</v>
      </c>
      <c r="H24" s="21">
        <v>1</v>
      </c>
    </row>
    <row r="25" spans="1:8" ht="25" customHeight="1" x14ac:dyDescent="0.25">
      <c r="A25" s="20">
        <v>49.048999999999999</v>
      </c>
      <c r="B25" s="20">
        <v>10.119</v>
      </c>
      <c r="C25" s="20">
        <v>45.128999999999998</v>
      </c>
      <c r="D25" s="20">
        <v>52.969000000000001</v>
      </c>
      <c r="E25" s="21">
        <v>1</v>
      </c>
      <c r="F25" s="20">
        <v>44.872</v>
      </c>
      <c r="G25" s="20">
        <v>53.225999999999999</v>
      </c>
      <c r="H25" s="21">
        <v>1</v>
      </c>
    </row>
    <row r="26" spans="1:8" ht="25" customHeight="1" x14ac:dyDescent="0.25">
      <c r="A26" s="20">
        <v>46.911000000000001</v>
      </c>
      <c r="B26" s="20">
        <v>12.042</v>
      </c>
      <c r="C26" s="20">
        <v>42.991</v>
      </c>
      <c r="D26" s="20">
        <v>50.831000000000003</v>
      </c>
      <c r="E26" s="21">
        <v>1</v>
      </c>
      <c r="F26" s="20">
        <v>41.941000000000003</v>
      </c>
      <c r="G26" s="20">
        <v>51.881999999999998</v>
      </c>
      <c r="H26" s="21">
        <v>1</v>
      </c>
    </row>
    <row r="27" spans="1:8" ht="25" customHeight="1" x14ac:dyDescent="0.25">
      <c r="A27" s="20">
        <v>46.603000000000002</v>
      </c>
      <c r="B27" s="20">
        <v>10.358000000000001</v>
      </c>
      <c r="C27" s="20">
        <v>42.683</v>
      </c>
      <c r="D27" s="20">
        <v>50.523000000000003</v>
      </c>
      <c r="E27" s="21">
        <v>1</v>
      </c>
      <c r="F27" s="20">
        <v>42.328000000000003</v>
      </c>
      <c r="G27" s="20">
        <v>50.878999999999998</v>
      </c>
      <c r="H27" s="21">
        <v>1</v>
      </c>
    </row>
    <row r="28" spans="1:8" ht="25" customHeight="1" x14ac:dyDescent="0.25">
      <c r="A28" s="20">
        <v>49.093000000000004</v>
      </c>
      <c r="B28" s="20">
        <v>7.35</v>
      </c>
      <c r="C28" s="20">
        <v>45.173000000000002</v>
      </c>
      <c r="D28" s="20">
        <v>53.012999999999998</v>
      </c>
      <c r="E28" s="21">
        <v>1</v>
      </c>
      <c r="F28" s="20">
        <v>46.058999999999997</v>
      </c>
      <c r="G28" s="20">
        <v>52.127000000000002</v>
      </c>
      <c r="H28" s="21">
        <v>1</v>
      </c>
    </row>
    <row r="29" spans="1:8" ht="25" customHeight="1" x14ac:dyDescent="0.25">
      <c r="A29" s="20">
        <v>46.316000000000003</v>
      </c>
      <c r="B29" s="20">
        <v>10.512</v>
      </c>
      <c r="C29" s="20">
        <v>42.396000000000001</v>
      </c>
      <c r="D29" s="20">
        <v>50.234999999999999</v>
      </c>
      <c r="E29" s="21">
        <v>1</v>
      </c>
      <c r="F29" s="20">
        <v>41.976999999999997</v>
      </c>
      <c r="G29" s="20">
        <v>50.655000000000001</v>
      </c>
      <c r="H29" s="21">
        <v>1</v>
      </c>
    </row>
    <row r="30" spans="1:8" ht="25" customHeight="1" x14ac:dyDescent="0.25">
      <c r="A30" s="20">
        <v>47.067</v>
      </c>
      <c r="B30" s="20">
        <v>14.547000000000001</v>
      </c>
      <c r="C30" s="20">
        <v>43.148000000000003</v>
      </c>
      <c r="D30" s="20">
        <v>50.987000000000002</v>
      </c>
      <c r="E30" s="21">
        <v>1</v>
      </c>
      <c r="F30" s="20">
        <v>41.063000000000002</v>
      </c>
      <c r="G30" s="20">
        <v>53.072000000000003</v>
      </c>
      <c r="H30" s="21">
        <v>1</v>
      </c>
    </row>
    <row r="31" spans="1:8" ht="25" customHeight="1" x14ac:dyDescent="0.25">
      <c r="A31" s="20">
        <v>44.073</v>
      </c>
      <c r="B31" s="20">
        <v>8.6869999999999994</v>
      </c>
      <c r="C31" s="20">
        <v>40.152999999999999</v>
      </c>
      <c r="D31" s="20">
        <v>47.991999999999997</v>
      </c>
      <c r="E31" s="21">
        <v>1</v>
      </c>
      <c r="F31" s="20">
        <v>40.485999999999997</v>
      </c>
      <c r="G31" s="20">
        <v>47.658999999999999</v>
      </c>
      <c r="H31" s="21">
        <v>1</v>
      </c>
    </row>
    <row r="32" spans="1:8" ht="25" customHeight="1" x14ac:dyDescent="0.25">
      <c r="A32" s="20">
        <v>46.811999999999998</v>
      </c>
      <c r="B32" s="20">
        <v>7.5810000000000004</v>
      </c>
      <c r="C32" s="20">
        <v>42.892000000000003</v>
      </c>
      <c r="D32" s="20">
        <v>50.731999999999999</v>
      </c>
      <c r="E32" s="21">
        <v>1</v>
      </c>
      <c r="F32" s="20">
        <v>43.683</v>
      </c>
      <c r="G32" s="20">
        <v>49.942</v>
      </c>
      <c r="H32" s="21">
        <v>1</v>
      </c>
    </row>
    <row r="33" spans="1:8" ht="25" customHeight="1" x14ac:dyDescent="0.25">
      <c r="A33" s="20">
        <v>46.722999999999999</v>
      </c>
      <c r="B33" s="20">
        <v>9.3010000000000002</v>
      </c>
      <c r="C33" s="20">
        <v>42.802999999999997</v>
      </c>
      <c r="D33" s="20">
        <v>50.643000000000001</v>
      </c>
      <c r="E33" s="21">
        <v>1</v>
      </c>
      <c r="F33" s="20">
        <v>42.883000000000003</v>
      </c>
      <c r="G33" s="20">
        <v>50.561999999999998</v>
      </c>
      <c r="H33" s="21">
        <v>1</v>
      </c>
    </row>
    <row r="34" spans="1:8" ht="25" customHeight="1" x14ac:dyDescent="0.25">
      <c r="A34" s="20">
        <v>47.588999999999999</v>
      </c>
      <c r="B34" s="20">
        <v>10.27</v>
      </c>
      <c r="C34" s="20">
        <v>43.67</v>
      </c>
      <c r="D34" s="20">
        <v>51.509</v>
      </c>
      <c r="E34" s="21">
        <v>1</v>
      </c>
      <c r="F34" s="20">
        <v>43.35</v>
      </c>
      <c r="G34" s="20">
        <v>51.829000000000001</v>
      </c>
      <c r="H34" s="21">
        <v>1</v>
      </c>
    </row>
    <row r="35" spans="1:8" ht="25" customHeight="1" x14ac:dyDescent="0.25">
      <c r="A35" s="20">
        <v>47.636000000000003</v>
      </c>
      <c r="B35" s="20">
        <v>9.1300000000000008</v>
      </c>
      <c r="C35" s="20">
        <v>43.716000000000001</v>
      </c>
      <c r="D35" s="20">
        <v>51.555</v>
      </c>
      <c r="E35" s="21">
        <v>1</v>
      </c>
      <c r="F35" s="20">
        <v>43.866999999999997</v>
      </c>
      <c r="G35" s="20">
        <v>51.404000000000003</v>
      </c>
      <c r="H35" s="21">
        <v>1</v>
      </c>
    </row>
    <row r="36" spans="1:8" ht="25" customHeight="1" x14ac:dyDescent="0.25">
      <c r="A36" s="20">
        <v>48.197000000000003</v>
      </c>
      <c r="B36" s="20">
        <v>8.0890000000000004</v>
      </c>
      <c r="C36" s="20">
        <v>44.277000000000001</v>
      </c>
      <c r="D36" s="20">
        <v>52.116999999999997</v>
      </c>
      <c r="E36" s="21">
        <v>1</v>
      </c>
      <c r="F36" s="20">
        <v>44.857999999999997</v>
      </c>
      <c r="G36" s="20">
        <v>51.536000000000001</v>
      </c>
      <c r="H36" s="21">
        <v>1</v>
      </c>
    </row>
    <row r="37" spans="1:8" ht="25" customHeight="1" x14ac:dyDescent="0.25">
      <c r="A37" s="20">
        <v>48.54</v>
      </c>
      <c r="B37" s="20">
        <v>8.077</v>
      </c>
      <c r="C37" s="20">
        <v>44.62</v>
      </c>
      <c r="D37" s="20">
        <v>52.46</v>
      </c>
      <c r="E37" s="21">
        <v>1</v>
      </c>
      <c r="F37" s="20">
        <v>45.206000000000003</v>
      </c>
      <c r="G37" s="20">
        <v>51.874000000000002</v>
      </c>
      <c r="H37" s="21">
        <v>1</v>
      </c>
    </row>
    <row r="38" spans="1:8" ht="25" customHeight="1" x14ac:dyDescent="0.25">
      <c r="A38" s="20">
        <v>46.853999999999999</v>
      </c>
      <c r="B38" s="20">
        <v>7.6710000000000003</v>
      </c>
      <c r="C38" s="20">
        <v>42.933999999999997</v>
      </c>
      <c r="D38" s="20">
        <v>50.774000000000001</v>
      </c>
      <c r="E38" s="21">
        <v>1</v>
      </c>
      <c r="F38" s="20">
        <v>43.688000000000002</v>
      </c>
      <c r="G38" s="20">
        <v>50.021000000000001</v>
      </c>
      <c r="H38" s="21">
        <v>1</v>
      </c>
    </row>
    <row r="39" spans="1:8" ht="25" customHeight="1" x14ac:dyDescent="0.25">
      <c r="A39" s="20">
        <v>44.548999999999999</v>
      </c>
      <c r="B39" s="20">
        <v>8.8940000000000001</v>
      </c>
      <c r="C39" s="20">
        <v>40.628999999999998</v>
      </c>
      <c r="D39" s="20">
        <v>48.469000000000001</v>
      </c>
      <c r="E39" s="21">
        <v>1</v>
      </c>
      <c r="F39" s="20">
        <v>40.878</v>
      </c>
      <c r="G39" s="20">
        <v>48.220999999999997</v>
      </c>
      <c r="H39" s="21">
        <v>1</v>
      </c>
    </row>
    <row r="40" spans="1:8" ht="25" customHeight="1" x14ac:dyDescent="0.25">
      <c r="A40" s="20">
        <v>46.652999999999999</v>
      </c>
      <c r="B40" s="20">
        <v>9.5570000000000004</v>
      </c>
      <c r="C40" s="20">
        <v>42.734000000000002</v>
      </c>
      <c r="D40" s="20">
        <v>50.573</v>
      </c>
      <c r="E40" s="21">
        <v>1</v>
      </c>
      <c r="F40" s="20">
        <v>42.707999999999998</v>
      </c>
      <c r="G40" s="20">
        <v>50.598999999999997</v>
      </c>
      <c r="H40" s="21">
        <v>1</v>
      </c>
    </row>
    <row r="41" spans="1:8" ht="25" customHeight="1" x14ac:dyDescent="0.25">
      <c r="A41" s="20">
        <v>47.59</v>
      </c>
      <c r="B41" s="20">
        <v>10.672000000000001</v>
      </c>
      <c r="C41" s="20">
        <v>43.67</v>
      </c>
      <c r="D41" s="20">
        <v>51.51</v>
      </c>
      <c r="E41" s="21">
        <v>1</v>
      </c>
      <c r="F41" s="20">
        <v>43.185000000000002</v>
      </c>
      <c r="G41" s="20">
        <v>51.994999999999997</v>
      </c>
      <c r="H41" s="21">
        <v>1</v>
      </c>
    </row>
    <row r="42" spans="1:8" ht="25" customHeight="1" x14ac:dyDescent="0.25">
      <c r="A42" s="20">
        <v>48.357999999999997</v>
      </c>
      <c r="B42" s="20">
        <v>9.6059999999999999</v>
      </c>
      <c r="C42" s="20">
        <v>44.438000000000002</v>
      </c>
      <c r="D42" s="20">
        <v>52.277999999999999</v>
      </c>
      <c r="E42" s="21">
        <v>1</v>
      </c>
      <c r="F42" s="20">
        <v>44.393000000000001</v>
      </c>
      <c r="G42" s="20">
        <v>52.323999999999998</v>
      </c>
      <c r="H42" s="21">
        <v>1</v>
      </c>
    </row>
    <row r="43" spans="1:8" ht="25" customHeight="1" x14ac:dyDescent="0.25">
      <c r="A43" s="20">
        <v>49.445999999999998</v>
      </c>
      <c r="B43" s="20">
        <v>12.071</v>
      </c>
      <c r="C43" s="20">
        <v>45.526000000000003</v>
      </c>
      <c r="D43" s="20">
        <v>53.366</v>
      </c>
      <c r="E43" s="21">
        <v>1</v>
      </c>
      <c r="F43" s="20">
        <v>44.463999999999999</v>
      </c>
      <c r="G43" s="20">
        <v>54.429000000000002</v>
      </c>
      <c r="H43" s="21">
        <v>1</v>
      </c>
    </row>
    <row r="44" spans="1:8" ht="25" customHeight="1" x14ac:dyDescent="0.25">
      <c r="A44" s="20">
        <v>47.527999999999999</v>
      </c>
      <c r="B44" s="20">
        <v>9.7479999999999993</v>
      </c>
      <c r="C44" s="20">
        <v>43.607999999999997</v>
      </c>
      <c r="D44" s="20">
        <v>51.448</v>
      </c>
      <c r="E44" s="21">
        <v>1</v>
      </c>
      <c r="F44" s="20">
        <v>43.503999999999998</v>
      </c>
      <c r="G44" s="20">
        <v>51.552</v>
      </c>
      <c r="H44" s="21">
        <v>1</v>
      </c>
    </row>
    <row r="45" spans="1:8" ht="25" customHeight="1" x14ac:dyDescent="0.25">
      <c r="A45" s="20">
        <v>46.244</v>
      </c>
      <c r="B45" s="20">
        <v>7.3970000000000002</v>
      </c>
      <c r="C45" s="20">
        <v>42.323999999999998</v>
      </c>
      <c r="D45" s="20">
        <v>50.164000000000001</v>
      </c>
      <c r="E45" s="21">
        <v>1</v>
      </c>
      <c r="F45" s="20">
        <v>43.191000000000003</v>
      </c>
      <c r="G45" s="20">
        <v>49.296999999999997</v>
      </c>
      <c r="H45" s="21">
        <v>1</v>
      </c>
    </row>
    <row r="46" spans="1:8" ht="25" customHeight="1" x14ac:dyDescent="0.25">
      <c r="A46" s="20">
        <v>48.274999999999999</v>
      </c>
      <c r="B46" s="20">
        <v>9.2050000000000001</v>
      </c>
      <c r="C46" s="20">
        <v>44.354999999999997</v>
      </c>
      <c r="D46" s="20">
        <v>52.195</v>
      </c>
      <c r="E46" s="21">
        <v>1</v>
      </c>
      <c r="F46" s="20">
        <v>44.475999999999999</v>
      </c>
      <c r="G46" s="20">
        <v>52.075000000000003</v>
      </c>
      <c r="H46" s="21">
        <v>1</v>
      </c>
    </row>
    <row r="47" spans="1:8" ht="25" customHeight="1" x14ac:dyDescent="0.25">
      <c r="A47" s="20">
        <v>42.777999999999999</v>
      </c>
      <c r="B47" s="20">
        <v>9.7850000000000001</v>
      </c>
      <c r="C47" s="20">
        <v>38.857999999999997</v>
      </c>
      <c r="D47" s="20">
        <v>46.698</v>
      </c>
      <c r="E47" s="21">
        <v>0</v>
      </c>
      <c r="F47" s="20">
        <v>38.738999999999997</v>
      </c>
      <c r="G47" s="20">
        <v>46.817</v>
      </c>
      <c r="H47" s="21">
        <v>0</v>
      </c>
    </row>
    <row r="48" spans="1:8" ht="25" customHeight="1" x14ac:dyDescent="0.25">
      <c r="A48" s="20">
        <v>46.618000000000002</v>
      </c>
      <c r="B48" s="20">
        <v>10.548999999999999</v>
      </c>
      <c r="C48" s="20">
        <v>42.698</v>
      </c>
      <c r="D48" s="20">
        <v>50.537999999999997</v>
      </c>
      <c r="E48" s="21">
        <v>1</v>
      </c>
      <c r="F48" s="20">
        <v>42.264000000000003</v>
      </c>
      <c r="G48" s="20">
        <v>50.972000000000001</v>
      </c>
      <c r="H48" s="21">
        <v>1</v>
      </c>
    </row>
    <row r="49" spans="1:8" ht="25" customHeight="1" x14ac:dyDescent="0.25">
      <c r="A49" s="20">
        <v>49.11</v>
      </c>
      <c r="B49" s="20">
        <v>11.172000000000001</v>
      </c>
      <c r="C49" s="20">
        <v>45.19</v>
      </c>
      <c r="D49" s="20">
        <v>53.03</v>
      </c>
      <c r="E49" s="21">
        <v>1</v>
      </c>
      <c r="F49" s="20">
        <v>44.499000000000002</v>
      </c>
      <c r="G49" s="20">
        <v>53.722000000000001</v>
      </c>
      <c r="H49" s="21">
        <v>1</v>
      </c>
    </row>
    <row r="50" spans="1:8" ht="25" customHeight="1" x14ac:dyDescent="0.25">
      <c r="A50" s="20">
        <v>45.954999999999998</v>
      </c>
      <c r="B50" s="20">
        <v>9.4429999999999996</v>
      </c>
      <c r="C50" s="20">
        <v>42.034999999999997</v>
      </c>
      <c r="D50" s="20">
        <v>49.875</v>
      </c>
      <c r="E50" s="21">
        <v>1</v>
      </c>
      <c r="F50" s="20">
        <v>42.057000000000002</v>
      </c>
      <c r="G50" s="20">
        <v>49.851999999999997</v>
      </c>
      <c r="H50" s="21">
        <v>1</v>
      </c>
    </row>
    <row r="51" spans="1:8" ht="25" customHeight="1" x14ac:dyDescent="0.25">
      <c r="A51" s="20">
        <v>49.514000000000003</v>
      </c>
      <c r="B51" s="20">
        <v>11.587</v>
      </c>
      <c r="C51" s="20">
        <v>45.594000000000001</v>
      </c>
      <c r="D51" s="20">
        <v>53.433999999999997</v>
      </c>
      <c r="E51" s="21">
        <v>1</v>
      </c>
      <c r="F51" s="20">
        <v>44.731000000000002</v>
      </c>
      <c r="G51" s="20">
        <v>54.296999999999997</v>
      </c>
      <c r="H51" s="21">
        <v>1</v>
      </c>
    </row>
    <row r="52" spans="1:8" ht="25" customHeight="1" x14ac:dyDescent="0.25">
      <c r="A52" s="20">
        <v>45.094000000000001</v>
      </c>
      <c r="B52" s="20">
        <v>11.191000000000001</v>
      </c>
      <c r="C52" s="20">
        <v>41.173999999999999</v>
      </c>
      <c r="D52" s="20">
        <v>49.014000000000003</v>
      </c>
      <c r="E52" s="21">
        <v>1</v>
      </c>
      <c r="F52" s="20">
        <v>40.473999999999997</v>
      </c>
      <c r="G52" s="20">
        <v>49.713000000000001</v>
      </c>
      <c r="H52" s="21">
        <v>1</v>
      </c>
    </row>
    <row r="53" spans="1:8" ht="25" customHeight="1" x14ac:dyDescent="0.25">
      <c r="A53" s="20">
        <v>43.392000000000003</v>
      </c>
      <c r="B53" s="20">
        <v>10.513</v>
      </c>
      <c r="C53" s="20">
        <v>39.472000000000001</v>
      </c>
      <c r="D53" s="20">
        <v>47.311999999999998</v>
      </c>
      <c r="E53" s="21">
        <v>1</v>
      </c>
      <c r="F53" s="20">
        <v>39.052</v>
      </c>
      <c r="G53" s="20">
        <v>47.731000000000002</v>
      </c>
      <c r="H53" s="21">
        <v>1</v>
      </c>
    </row>
    <row r="54" spans="1:8" ht="25" customHeight="1" x14ac:dyDescent="0.25">
      <c r="A54" s="20">
        <v>49.338000000000001</v>
      </c>
      <c r="B54" s="20">
        <v>11.343999999999999</v>
      </c>
      <c r="C54" s="20">
        <v>45.417999999999999</v>
      </c>
      <c r="D54" s="20">
        <v>53.258000000000003</v>
      </c>
      <c r="E54" s="21">
        <v>1</v>
      </c>
      <c r="F54" s="20">
        <v>44.655000000000001</v>
      </c>
      <c r="G54" s="20">
        <v>54.021000000000001</v>
      </c>
      <c r="H54" s="21">
        <v>1</v>
      </c>
    </row>
    <row r="55" spans="1:8" ht="25" customHeight="1" x14ac:dyDescent="0.25">
      <c r="A55" s="20">
        <v>44.686</v>
      </c>
      <c r="B55" s="20">
        <v>9.1959999999999997</v>
      </c>
      <c r="C55" s="20">
        <v>40.765999999999998</v>
      </c>
      <c r="D55" s="20">
        <v>48.606000000000002</v>
      </c>
      <c r="E55" s="21">
        <v>1</v>
      </c>
      <c r="F55" s="20">
        <v>40.89</v>
      </c>
      <c r="G55" s="20">
        <v>48.481999999999999</v>
      </c>
      <c r="H55" s="21">
        <v>1</v>
      </c>
    </row>
    <row r="56" spans="1:8" ht="25" customHeight="1" x14ac:dyDescent="0.25">
      <c r="A56" s="20">
        <v>46.701999999999998</v>
      </c>
      <c r="B56" s="20">
        <v>11.601000000000001</v>
      </c>
      <c r="C56" s="20">
        <v>42.781999999999996</v>
      </c>
      <c r="D56" s="20">
        <v>50.622</v>
      </c>
      <c r="E56" s="21">
        <v>1</v>
      </c>
      <c r="F56" s="20">
        <v>41.912999999999997</v>
      </c>
      <c r="G56" s="20">
        <v>51.49</v>
      </c>
      <c r="H56" s="21">
        <v>1</v>
      </c>
    </row>
    <row r="57" spans="1:8" ht="25" customHeight="1" x14ac:dyDescent="0.25">
      <c r="A57" s="20">
        <v>47.116999999999997</v>
      </c>
      <c r="B57" s="20">
        <v>8.1780000000000008</v>
      </c>
      <c r="C57" s="20">
        <v>43.198</v>
      </c>
      <c r="D57" s="20">
        <v>51.036999999999999</v>
      </c>
      <c r="E57" s="21">
        <v>1</v>
      </c>
      <c r="F57" s="20">
        <v>43.741999999999997</v>
      </c>
      <c r="G57" s="20">
        <v>50.493000000000002</v>
      </c>
      <c r="H57" s="21">
        <v>1</v>
      </c>
    </row>
    <row r="58" spans="1:8" ht="25" customHeight="1" x14ac:dyDescent="0.25">
      <c r="A58" s="20">
        <v>46.862000000000002</v>
      </c>
      <c r="B58" s="20">
        <v>8.9860000000000007</v>
      </c>
      <c r="C58" s="20">
        <v>42.942</v>
      </c>
      <c r="D58" s="20">
        <v>50.781999999999996</v>
      </c>
      <c r="E58" s="21">
        <v>1</v>
      </c>
      <c r="F58" s="20">
        <v>43.152999999999999</v>
      </c>
      <c r="G58" s="20">
        <v>50.570999999999998</v>
      </c>
      <c r="H58" s="21">
        <v>1</v>
      </c>
    </row>
    <row r="59" spans="1:8" ht="25" customHeight="1" x14ac:dyDescent="0.25">
      <c r="A59" s="20">
        <v>49.780999999999999</v>
      </c>
      <c r="B59" s="20">
        <v>10.173999999999999</v>
      </c>
      <c r="C59" s="20">
        <v>45.860999999999997</v>
      </c>
      <c r="D59" s="20">
        <v>53.701000000000001</v>
      </c>
      <c r="E59" s="21">
        <v>1</v>
      </c>
      <c r="F59" s="20">
        <v>45.582000000000001</v>
      </c>
      <c r="G59" s="20">
        <v>53.981000000000002</v>
      </c>
      <c r="H59" s="21">
        <v>1</v>
      </c>
    </row>
    <row r="60" spans="1:8" ht="25" customHeight="1" x14ac:dyDescent="0.25">
      <c r="A60" s="20">
        <v>49.03</v>
      </c>
      <c r="B60" s="20">
        <v>11.259</v>
      </c>
      <c r="C60" s="20">
        <v>45.11</v>
      </c>
      <c r="D60" s="20">
        <v>52.95</v>
      </c>
      <c r="E60" s="21">
        <v>1</v>
      </c>
      <c r="F60" s="20">
        <v>44.381999999999998</v>
      </c>
      <c r="G60" s="20">
        <v>53.677999999999997</v>
      </c>
      <c r="H60" s="21">
        <v>1</v>
      </c>
    </row>
    <row r="61" spans="1:8" ht="25" customHeight="1" x14ac:dyDescent="0.25">
      <c r="A61" s="20">
        <v>45.124000000000002</v>
      </c>
      <c r="B61" s="20">
        <v>9.0020000000000007</v>
      </c>
      <c r="C61" s="20">
        <v>41.204000000000001</v>
      </c>
      <c r="D61" s="20">
        <v>49.043999999999997</v>
      </c>
      <c r="E61" s="21">
        <v>1</v>
      </c>
      <c r="F61" s="20">
        <v>41.408000000000001</v>
      </c>
      <c r="G61" s="20">
        <v>48.838999999999999</v>
      </c>
      <c r="H61" s="21">
        <v>1</v>
      </c>
    </row>
    <row r="62" spans="1:8" ht="25" customHeight="1" x14ac:dyDescent="0.25">
      <c r="A62" s="20">
        <v>46.326000000000001</v>
      </c>
      <c r="B62" s="20">
        <v>10.5</v>
      </c>
      <c r="C62" s="20">
        <v>42.405999999999999</v>
      </c>
      <c r="D62" s="20">
        <v>50.246000000000002</v>
      </c>
      <c r="E62" s="21">
        <v>1</v>
      </c>
      <c r="F62" s="20">
        <v>41.991999999999997</v>
      </c>
      <c r="G62" s="20">
        <v>50.66</v>
      </c>
      <c r="H62" s="21">
        <v>1</v>
      </c>
    </row>
    <row r="63" spans="1:8" ht="25" customHeight="1" x14ac:dyDescent="0.25">
      <c r="A63" s="20">
        <v>47.454000000000001</v>
      </c>
      <c r="B63" s="20">
        <v>7.2919999999999998</v>
      </c>
      <c r="C63" s="20">
        <v>43.533999999999999</v>
      </c>
      <c r="D63" s="20">
        <v>51.374000000000002</v>
      </c>
      <c r="E63" s="21">
        <v>1</v>
      </c>
      <c r="F63" s="20">
        <v>44.444000000000003</v>
      </c>
      <c r="G63" s="20">
        <v>50.463999999999999</v>
      </c>
      <c r="H63" s="21">
        <v>1</v>
      </c>
    </row>
    <row r="64" spans="1:8" ht="25" customHeight="1" x14ac:dyDescent="0.25">
      <c r="A64" s="20">
        <v>46.588000000000001</v>
      </c>
      <c r="B64" s="20">
        <v>8.5579999999999998</v>
      </c>
      <c r="C64" s="20">
        <v>42.667999999999999</v>
      </c>
      <c r="D64" s="20">
        <v>50.508000000000003</v>
      </c>
      <c r="E64" s="21">
        <v>1</v>
      </c>
      <c r="F64" s="20">
        <v>43.055999999999997</v>
      </c>
      <c r="G64" s="20">
        <v>50.121000000000002</v>
      </c>
      <c r="H64" s="21">
        <v>1</v>
      </c>
    </row>
    <row r="65" spans="1:8" ht="25" customHeight="1" x14ac:dyDescent="0.25">
      <c r="A65" s="20">
        <v>44.643000000000001</v>
      </c>
      <c r="B65" s="20">
        <v>9.8170000000000002</v>
      </c>
      <c r="C65" s="20">
        <v>40.722999999999999</v>
      </c>
      <c r="D65" s="20">
        <v>48.563000000000002</v>
      </c>
      <c r="E65" s="21">
        <v>1</v>
      </c>
      <c r="F65" s="20">
        <v>40.591000000000001</v>
      </c>
      <c r="G65" s="20">
        <v>48.695</v>
      </c>
      <c r="H65" s="21">
        <v>1</v>
      </c>
    </row>
    <row r="66" spans="1:8" ht="25" customHeight="1" x14ac:dyDescent="0.25">
      <c r="A66" s="20">
        <v>47.640999999999998</v>
      </c>
      <c r="B66" s="20">
        <v>9.4689999999999994</v>
      </c>
      <c r="C66" s="20">
        <v>43.720999999999997</v>
      </c>
      <c r="D66" s="20">
        <v>51.561</v>
      </c>
      <c r="E66" s="21">
        <v>1</v>
      </c>
      <c r="F66" s="20">
        <v>43.731999999999999</v>
      </c>
      <c r="G66" s="20">
        <v>51.548999999999999</v>
      </c>
      <c r="H66" s="21">
        <v>1</v>
      </c>
    </row>
    <row r="67" spans="1:8" ht="25" customHeight="1" x14ac:dyDescent="0.25">
      <c r="A67" s="20">
        <v>47.969000000000001</v>
      </c>
      <c r="B67" s="20">
        <v>9.1579999999999995</v>
      </c>
      <c r="C67" s="20">
        <v>44.048999999999999</v>
      </c>
      <c r="D67" s="20">
        <v>51.889000000000003</v>
      </c>
      <c r="E67" s="21">
        <v>1</v>
      </c>
      <c r="F67" s="20">
        <v>44.189</v>
      </c>
      <c r="G67" s="20">
        <v>51.749000000000002</v>
      </c>
      <c r="H67" s="21">
        <v>1</v>
      </c>
    </row>
    <row r="68" spans="1:8" ht="25" customHeight="1" x14ac:dyDescent="0.25">
      <c r="A68" s="20">
        <v>47.911000000000001</v>
      </c>
      <c r="B68" s="20">
        <v>8.8040000000000003</v>
      </c>
      <c r="C68" s="20">
        <v>43.991</v>
      </c>
      <c r="D68" s="20">
        <v>51.831000000000003</v>
      </c>
      <c r="E68" s="21">
        <v>1</v>
      </c>
      <c r="F68" s="20">
        <v>44.276000000000003</v>
      </c>
      <c r="G68" s="20">
        <v>51.545000000000002</v>
      </c>
      <c r="H68" s="21">
        <v>1</v>
      </c>
    </row>
    <row r="69" spans="1:8" ht="25" customHeight="1" x14ac:dyDescent="0.25">
      <c r="A69" s="20">
        <v>46.131</v>
      </c>
      <c r="B69" s="20">
        <v>12.099</v>
      </c>
      <c r="C69" s="20">
        <v>42.210999999999999</v>
      </c>
      <c r="D69" s="20">
        <v>50.051000000000002</v>
      </c>
      <c r="E69" s="21">
        <v>1</v>
      </c>
      <c r="F69" s="20">
        <v>41.137</v>
      </c>
      <c r="G69" s="20">
        <v>51.125</v>
      </c>
      <c r="H69" s="21">
        <v>1</v>
      </c>
    </row>
    <row r="70" spans="1:8" ht="25" customHeight="1" x14ac:dyDescent="0.25">
      <c r="A70" s="20">
        <v>45.573</v>
      </c>
      <c r="B70" s="20">
        <v>12.728</v>
      </c>
      <c r="C70" s="20">
        <v>41.654000000000003</v>
      </c>
      <c r="D70" s="20">
        <v>49.493000000000002</v>
      </c>
      <c r="E70" s="21">
        <v>1</v>
      </c>
      <c r="F70" s="20">
        <v>40.32</v>
      </c>
      <c r="G70" s="20">
        <v>50.826999999999998</v>
      </c>
      <c r="H70" s="21">
        <v>1</v>
      </c>
    </row>
    <row r="71" spans="1:8" ht="25" customHeight="1" x14ac:dyDescent="0.25">
      <c r="A71" s="20">
        <v>45.593000000000004</v>
      </c>
      <c r="B71" s="20">
        <v>9.4879999999999995</v>
      </c>
      <c r="C71" s="20">
        <v>41.673000000000002</v>
      </c>
      <c r="D71" s="20">
        <v>49.512999999999998</v>
      </c>
      <c r="E71" s="21">
        <v>1</v>
      </c>
      <c r="F71" s="20">
        <v>41.677</v>
      </c>
      <c r="G71" s="20">
        <v>49.509</v>
      </c>
      <c r="H71" s="21">
        <v>1</v>
      </c>
    </row>
    <row r="72" spans="1:8" ht="25" customHeight="1" x14ac:dyDescent="0.25">
      <c r="A72" s="20">
        <v>46.265999999999998</v>
      </c>
      <c r="B72" s="20">
        <v>9.1839999999999993</v>
      </c>
      <c r="C72" s="20">
        <v>42.345999999999997</v>
      </c>
      <c r="D72" s="20">
        <v>50.186</v>
      </c>
      <c r="E72" s="21">
        <v>1</v>
      </c>
      <c r="F72" s="20">
        <v>42.475000000000001</v>
      </c>
      <c r="G72" s="20">
        <v>50.057000000000002</v>
      </c>
      <c r="H72" s="21">
        <v>1</v>
      </c>
    </row>
    <row r="73" spans="1:8" ht="25" customHeight="1" x14ac:dyDescent="0.25">
      <c r="A73" s="20">
        <v>46.097999999999999</v>
      </c>
      <c r="B73" s="20">
        <v>8.4649999999999999</v>
      </c>
      <c r="C73" s="20">
        <v>42.177999999999997</v>
      </c>
      <c r="D73" s="20">
        <v>50.018000000000001</v>
      </c>
      <c r="E73" s="21">
        <v>1</v>
      </c>
      <c r="F73" s="20">
        <v>42.603999999999999</v>
      </c>
      <c r="G73" s="20">
        <v>49.593000000000004</v>
      </c>
      <c r="H73" s="21">
        <v>1</v>
      </c>
    </row>
    <row r="74" spans="1:8" ht="25" customHeight="1" x14ac:dyDescent="0.25">
      <c r="A74" s="20">
        <v>47.094000000000001</v>
      </c>
      <c r="B74" s="20">
        <v>8.6259999999999994</v>
      </c>
      <c r="C74" s="20">
        <v>43.173999999999999</v>
      </c>
      <c r="D74" s="20">
        <v>51.014000000000003</v>
      </c>
      <c r="E74" s="21">
        <v>1</v>
      </c>
      <c r="F74" s="20">
        <v>43.533999999999999</v>
      </c>
      <c r="G74" s="20">
        <v>50.655000000000001</v>
      </c>
      <c r="H74" s="21">
        <v>1</v>
      </c>
    </row>
    <row r="75" spans="1:8" ht="25" customHeight="1" x14ac:dyDescent="0.25">
      <c r="A75" s="20">
        <v>41.555</v>
      </c>
      <c r="B75" s="20">
        <v>11.946999999999999</v>
      </c>
      <c r="C75" s="20">
        <v>37.634999999999998</v>
      </c>
      <c r="D75" s="20">
        <v>45.475000000000001</v>
      </c>
      <c r="E75" s="21">
        <v>0</v>
      </c>
      <c r="F75" s="20">
        <v>36.624000000000002</v>
      </c>
      <c r="G75" s="20">
        <v>46.487000000000002</v>
      </c>
      <c r="H75" s="21">
        <v>0</v>
      </c>
    </row>
    <row r="76" spans="1:8" ht="25" customHeight="1" x14ac:dyDescent="0.25">
      <c r="A76" s="20">
        <v>45.962000000000003</v>
      </c>
      <c r="B76" s="20">
        <v>8.3089999999999993</v>
      </c>
      <c r="C76" s="20">
        <v>42.042000000000002</v>
      </c>
      <c r="D76" s="20">
        <v>49.881999999999998</v>
      </c>
      <c r="E76" s="21">
        <v>1</v>
      </c>
      <c r="F76" s="20">
        <v>42.531999999999996</v>
      </c>
      <c r="G76" s="20">
        <v>49.390999999999998</v>
      </c>
      <c r="H76" s="21">
        <v>1</v>
      </c>
    </row>
    <row r="77" spans="1:8" ht="25" customHeight="1" x14ac:dyDescent="0.25">
      <c r="A77" s="20">
        <v>45.767000000000003</v>
      </c>
      <c r="B77" s="20">
        <v>12.423</v>
      </c>
      <c r="C77" s="20">
        <v>41.847000000000001</v>
      </c>
      <c r="D77" s="20">
        <v>49.686999999999998</v>
      </c>
      <c r="E77" s="21">
        <v>1</v>
      </c>
      <c r="F77" s="20">
        <v>40.639000000000003</v>
      </c>
      <c r="G77" s="20">
        <v>50.895000000000003</v>
      </c>
      <c r="H77" s="21">
        <v>1</v>
      </c>
    </row>
    <row r="78" spans="1:8" ht="25" customHeight="1" x14ac:dyDescent="0.25">
      <c r="A78" s="20">
        <v>44.05</v>
      </c>
      <c r="B78" s="20">
        <v>9.3849999999999998</v>
      </c>
      <c r="C78" s="20">
        <v>40.130000000000003</v>
      </c>
      <c r="D78" s="20">
        <v>47.97</v>
      </c>
      <c r="E78" s="21">
        <v>1</v>
      </c>
      <c r="F78" s="20">
        <v>40.176000000000002</v>
      </c>
      <c r="G78" s="20">
        <v>47.923999999999999</v>
      </c>
      <c r="H78" s="21">
        <v>1</v>
      </c>
    </row>
    <row r="79" spans="1:8" ht="25" customHeight="1" x14ac:dyDescent="0.25">
      <c r="A79" s="20">
        <v>46.186999999999998</v>
      </c>
      <c r="B79" s="20">
        <v>11.891999999999999</v>
      </c>
      <c r="C79" s="20">
        <v>42.267000000000003</v>
      </c>
      <c r="D79" s="20">
        <v>50.106000000000002</v>
      </c>
      <c r="E79" s="21">
        <v>1</v>
      </c>
      <c r="F79" s="20">
        <v>41.277999999999999</v>
      </c>
      <c r="G79" s="20">
        <v>51.094999999999999</v>
      </c>
      <c r="H79" s="21">
        <v>1</v>
      </c>
    </row>
    <row r="80" spans="1:8" ht="25" customHeight="1" x14ac:dyDescent="0.25">
      <c r="A80" s="20">
        <v>49.027000000000001</v>
      </c>
      <c r="B80" s="20">
        <v>10.33</v>
      </c>
      <c r="C80" s="20">
        <v>45.106999999999999</v>
      </c>
      <c r="D80" s="20">
        <v>52.947000000000003</v>
      </c>
      <c r="E80" s="21">
        <v>1</v>
      </c>
      <c r="F80" s="20">
        <v>44.762999999999998</v>
      </c>
      <c r="G80" s="20">
        <v>53.290999999999997</v>
      </c>
      <c r="H80" s="21">
        <v>1</v>
      </c>
    </row>
    <row r="81" spans="1:8" ht="25" customHeight="1" x14ac:dyDescent="0.25">
      <c r="A81" s="20">
        <v>47.564</v>
      </c>
      <c r="B81" s="20">
        <v>8.6969999999999992</v>
      </c>
      <c r="C81" s="20">
        <v>43.643999999999998</v>
      </c>
      <c r="D81" s="20">
        <v>51.484000000000002</v>
      </c>
      <c r="E81" s="21">
        <v>1</v>
      </c>
      <c r="F81" s="20">
        <v>43.973999999999997</v>
      </c>
      <c r="G81" s="20">
        <v>51.154000000000003</v>
      </c>
      <c r="H81" s="21">
        <v>1</v>
      </c>
    </row>
    <row r="82" spans="1:8" ht="25" customHeight="1" x14ac:dyDescent="0.25">
      <c r="A82" s="20">
        <v>47.042000000000002</v>
      </c>
      <c r="B82" s="20">
        <v>8.5709999999999997</v>
      </c>
      <c r="C82" s="20">
        <v>43.122</v>
      </c>
      <c r="D82" s="20">
        <v>50.962000000000003</v>
      </c>
      <c r="E82" s="21">
        <v>1</v>
      </c>
      <c r="F82" s="20">
        <v>43.503999999999998</v>
      </c>
      <c r="G82" s="20">
        <v>50.58</v>
      </c>
      <c r="H82" s="21">
        <v>1</v>
      </c>
    </row>
    <row r="83" spans="1:8" ht="25" customHeight="1" x14ac:dyDescent="0.25">
      <c r="A83" s="20">
        <v>46.377000000000002</v>
      </c>
      <c r="B83" s="20">
        <v>9.9809999999999999</v>
      </c>
      <c r="C83" s="20">
        <v>42.457000000000001</v>
      </c>
      <c r="D83" s="20">
        <v>50.295999999999999</v>
      </c>
      <c r="E83" s="21">
        <v>1</v>
      </c>
      <c r="F83" s="20">
        <v>42.256999999999998</v>
      </c>
      <c r="G83" s="20">
        <v>50.496000000000002</v>
      </c>
      <c r="H83" s="21">
        <v>1</v>
      </c>
    </row>
    <row r="84" spans="1:8" ht="25" customHeight="1" x14ac:dyDescent="0.25">
      <c r="A84" s="20">
        <v>47.323999999999998</v>
      </c>
      <c r="B84" s="20">
        <v>10.551</v>
      </c>
      <c r="C84" s="20">
        <v>43.404000000000003</v>
      </c>
      <c r="D84" s="20">
        <v>51.244</v>
      </c>
      <c r="E84" s="21">
        <v>1</v>
      </c>
      <c r="F84" s="20">
        <v>42.969000000000001</v>
      </c>
      <c r="G84" s="20">
        <v>51.679000000000002</v>
      </c>
      <c r="H84" s="21">
        <v>1</v>
      </c>
    </row>
    <row r="85" spans="1:8" ht="25" customHeight="1" x14ac:dyDescent="0.25">
      <c r="A85" s="20">
        <v>44.825000000000003</v>
      </c>
      <c r="B85" s="20">
        <v>8.3030000000000008</v>
      </c>
      <c r="C85" s="20">
        <v>40.905000000000001</v>
      </c>
      <c r="D85" s="20">
        <v>48.744999999999997</v>
      </c>
      <c r="E85" s="21">
        <v>1</v>
      </c>
      <c r="F85" s="20">
        <v>41.398000000000003</v>
      </c>
      <c r="G85" s="20">
        <v>48.252000000000002</v>
      </c>
      <c r="H85" s="21">
        <v>1</v>
      </c>
    </row>
    <row r="86" spans="1:8" ht="25" customHeight="1" x14ac:dyDescent="0.25">
      <c r="A86" s="20">
        <v>48.04</v>
      </c>
      <c r="B86" s="20">
        <v>8.4580000000000002</v>
      </c>
      <c r="C86" s="20">
        <v>44.12</v>
      </c>
      <c r="D86" s="20">
        <v>51.96</v>
      </c>
      <c r="E86" s="21">
        <v>1</v>
      </c>
      <c r="F86" s="20">
        <v>44.548999999999999</v>
      </c>
      <c r="G86" s="20">
        <v>51.530999999999999</v>
      </c>
      <c r="H86" s="21">
        <v>1</v>
      </c>
    </row>
    <row r="87" spans="1:8" ht="25" customHeight="1" x14ac:dyDescent="0.25">
      <c r="A87" s="20">
        <v>47.393000000000001</v>
      </c>
      <c r="B87" s="20">
        <v>8.9149999999999991</v>
      </c>
      <c r="C87" s="20">
        <v>43.472999999999999</v>
      </c>
      <c r="D87" s="20">
        <v>51.313000000000002</v>
      </c>
      <c r="E87" s="21">
        <v>1</v>
      </c>
      <c r="F87" s="20">
        <v>43.713999999999999</v>
      </c>
      <c r="G87" s="20">
        <v>51.073</v>
      </c>
      <c r="H87" s="21">
        <v>1</v>
      </c>
    </row>
    <row r="88" spans="1:8" ht="25" customHeight="1" x14ac:dyDescent="0.25">
      <c r="A88" s="20">
        <v>45.924999999999997</v>
      </c>
      <c r="B88" s="20">
        <v>9.2349999999999994</v>
      </c>
      <c r="C88" s="20">
        <v>42.005000000000003</v>
      </c>
      <c r="D88" s="20">
        <v>49.844999999999999</v>
      </c>
      <c r="E88" s="21">
        <v>1</v>
      </c>
      <c r="F88" s="20">
        <v>42.113</v>
      </c>
      <c r="G88" s="20">
        <v>49.737000000000002</v>
      </c>
      <c r="H88" s="21">
        <v>1</v>
      </c>
    </row>
    <row r="89" spans="1:8" ht="25" customHeight="1" x14ac:dyDescent="0.25">
      <c r="A89" s="20">
        <v>45.265000000000001</v>
      </c>
      <c r="B89" s="20">
        <v>9.7550000000000008</v>
      </c>
      <c r="C89" s="20">
        <v>41.344999999999999</v>
      </c>
      <c r="D89" s="20">
        <v>49.185000000000002</v>
      </c>
      <c r="E89" s="21">
        <v>1</v>
      </c>
      <c r="F89" s="20">
        <v>41.238</v>
      </c>
      <c r="G89" s="20">
        <v>49.290999999999997</v>
      </c>
      <c r="H89" s="21">
        <v>1</v>
      </c>
    </row>
    <row r="90" spans="1:8" ht="25" customHeight="1" x14ac:dyDescent="0.25">
      <c r="A90" s="20">
        <v>48.213999999999999</v>
      </c>
      <c r="B90" s="20">
        <v>10.657999999999999</v>
      </c>
      <c r="C90" s="20">
        <v>44.293999999999997</v>
      </c>
      <c r="D90" s="20">
        <v>52.134</v>
      </c>
      <c r="E90" s="21">
        <v>1</v>
      </c>
      <c r="F90" s="20">
        <v>43.814999999999998</v>
      </c>
      <c r="G90" s="20">
        <v>52.613</v>
      </c>
      <c r="H90" s="21">
        <v>1</v>
      </c>
    </row>
    <row r="91" spans="1:8" ht="25" customHeight="1" x14ac:dyDescent="0.25">
      <c r="A91" s="20">
        <v>46.228000000000002</v>
      </c>
      <c r="B91" s="20">
        <v>11.183999999999999</v>
      </c>
      <c r="C91" s="20">
        <v>42.308</v>
      </c>
      <c r="D91" s="20">
        <v>50.148000000000003</v>
      </c>
      <c r="E91" s="21">
        <v>1</v>
      </c>
      <c r="F91" s="20">
        <v>41.612000000000002</v>
      </c>
      <c r="G91" s="20">
        <v>50.844000000000001</v>
      </c>
      <c r="H91" s="21">
        <v>1</v>
      </c>
    </row>
    <row r="92" spans="1:8" ht="25" customHeight="1" x14ac:dyDescent="0.25">
      <c r="A92" s="20">
        <v>47.128999999999998</v>
      </c>
      <c r="B92" s="20">
        <v>11.661</v>
      </c>
      <c r="C92" s="20">
        <v>43.209000000000003</v>
      </c>
      <c r="D92" s="20">
        <v>51.048999999999999</v>
      </c>
      <c r="E92" s="21">
        <v>1</v>
      </c>
      <c r="F92" s="20">
        <v>42.316000000000003</v>
      </c>
      <c r="G92" s="20">
        <v>51.942999999999998</v>
      </c>
      <c r="H92" s="21">
        <v>1</v>
      </c>
    </row>
    <row r="93" spans="1:8" ht="25" customHeight="1" x14ac:dyDescent="0.25">
      <c r="A93" s="20">
        <v>45.956000000000003</v>
      </c>
      <c r="B93" s="20">
        <v>7.3460000000000001</v>
      </c>
      <c r="C93" s="20">
        <v>42.036999999999999</v>
      </c>
      <c r="D93" s="20">
        <v>49.875999999999998</v>
      </c>
      <c r="E93" s="21">
        <v>1</v>
      </c>
      <c r="F93" s="20">
        <v>42.923999999999999</v>
      </c>
      <c r="G93" s="20">
        <v>48.988999999999997</v>
      </c>
      <c r="H93" s="21">
        <v>1</v>
      </c>
    </row>
    <row r="94" spans="1:8" ht="25" customHeight="1" x14ac:dyDescent="0.25">
      <c r="A94" s="20">
        <v>48.415999999999997</v>
      </c>
      <c r="B94" s="20">
        <v>10.394</v>
      </c>
      <c r="C94" s="20">
        <v>44.496000000000002</v>
      </c>
      <c r="D94" s="20">
        <v>52.335000000000001</v>
      </c>
      <c r="E94" s="21">
        <v>1</v>
      </c>
      <c r="F94" s="20">
        <v>44.125</v>
      </c>
      <c r="G94" s="20">
        <v>52.706000000000003</v>
      </c>
      <c r="H94" s="21">
        <v>1</v>
      </c>
    </row>
    <row r="95" spans="1:8" ht="25" customHeight="1" x14ac:dyDescent="0.25">
      <c r="A95" s="20">
        <v>45.728999999999999</v>
      </c>
      <c r="B95" s="20">
        <v>9.6229999999999993</v>
      </c>
      <c r="C95" s="20">
        <v>41.808999999999997</v>
      </c>
      <c r="D95" s="20">
        <v>49.649000000000001</v>
      </c>
      <c r="E95" s="21">
        <v>1</v>
      </c>
      <c r="F95" s="20">
        <v>41.756999999999998</v>
      </c>
      <c r="G95" s="20">
        <v>49.701000000000001</v>
      </c>
      <c r="H95" s="21">
        <v>1</v>
      </c>
    </row>
    <row r="96" spans="1:8" ht="25" customHeight="1" x14ac:dyDescent="0.25">
      <c r="A96" s="20">
        <v>46.258000000000003</v>
      </c>
      <c r="B96" s="20">
        <v>8.1880000000000006</v>
      </c>
      <c r="C96" s="20">
        <v>42.338000000000001</v>
      </c>
      <c r="D96" s="20">
        <v>50.177999999999997</v>
      </c>
      <c r="E96" s="21">
        <v>1</v>
      </c>
      <c r="F96" s="20">
        <v>42.878</v>
      </c>
      <c r="G96" s="20">
        <v>49.637</v>
      </c>
      <c r="H96" s="21">
        <v>1</v>
      </c>
    </row>
    <row r="97" spans="1:8" ht="25" customHeight="1" x14ac:dyDescent="0.25">
      <c r="A97" s="20">
        <v>47.731000000000002</v>
      </c>
      <c r="B97" s="20">
        <v>10.079000000000001</v>
      </c>
      <c r="C97" s="20">
        <v>43.811</v>
      </c>
      <c r="D97" s="20">
        <v>51.651000000000003</v>
      </c>
      <c r="E97" s="21">
        <v>1</v>
      </c>
      <c r="F97" s="20">
        <v>43.57</v>
      </c>
      <c r="G97" s="20">
        <v>51.892000000000003</v>
      </c>
      <c r="H97" s="21">
        <v>1</v>
      </c>
    </row>
    <row r="98" spans="1:8" ht="25" customHeight="1" x14ac:dyDescent="0.25">
      <c r="A98" s="20">
        <v>43.140999999999998</v>
      </c>
      <c r="B98" s="20">
        <v>10.478999999999999</v>
      </c>
      <c r="C98" s="20">
        <v>39.220999999999997</v>
      </c>
      <c r="D98" s="20">
        <v>47.061</v>
      </c>
      <c r="E98" s="21">
        <v>1</v>
      </c>
      <c r="F98" s="20">
        <v>38.816000000000003</v>
      </c>
      <c r="G98" s="20">
        <v>47.466000000000001</v>
      </c>
      <c r="H98" s="21">
        <v>1</v>
      </c>
    </row>
    <row r="99" spans="1:8" ht="25" customHeight="1" x14ac:dyDescent="0.25">
      <c r="A99" s="20">
        <v>46.982999999999997</v>
      </c>
      <c r="B99" s="20">
        <v>9.3889999999999993</v>
      </c>
      <c r="C99" s="20">
        <v>43.063000000000002</v>
      </c>
      <c r="D99" s="20">
        <v>50.902000000000001</v>
      </c>
      <c r="E99" s="21">
        <v>1</v>
      </c>
      <c r="F99" s="20">
        <v>43.106999999999999</v>
      </c>
      <c r="G99" s="20">
        <v>50.857999999999997</v>
      </c>
      <c r="H99" s="21">
        <v>1</v>
      </c>
    </row>
    <row r="100" spans="1:8" ht="25" customHeight="1" x14ac:dyDescent="0.25">
      <c r="A100" s="20">
        <v>42.030999999999999</v>
      </c>
      <c r="B100" s="20">
        <v>9.5660000000000007</v>
      </c>
      <c r="C100" s="20">
        <v>38.110999999999997</v>
      </c>
      <c r="D100" s="20">
        <v>45.951000000000001</v>
      </c>
      <c r="E100" s="21">
        <v>0</v>
      </c>
      <c r="F100" s="20">
        <v>38.082000000000001</v>
      </c>
      <c r="G100" s="20">
        <v>45.98</v>
      </c>
      <c r="H100" s="21">
        <v>0</v>
      </c>
    </row>
    <row r="101" spans="1:8" ht="25" customHeight="1" x14ac:dyDescent="0.25">
      <c r="A101" s="20">
        <v>45.466999999999999</v>
      </c>
      <c r="B101" s="20">
        <v>9.4120000000000008</v>
      </c>
      <c r="C101" s="20">
        <v>41.546999999999997</v>
      </c>
      <c r="D101" s="20">
        <v>49.387</v>
      </c>
      <c r="E101" s="21">
        <v>1</v>
      </c>
      <c r="F101" s="20">
        <v>41.582000000000001</v>
      </c>
      <c r="G101" s="20">
        <v>49.351999999999997</v>
      </c>
      <c r="H101" s="21">
        <v>1</v>
      </c>
    </row>
  </sheetData>
  <mergeCells count="2">
    <mergeCell ref="J2:J3"/>
    <mergeCell ref="J4:J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E0AC-2174-49EB-B9ED-6CB6A6401450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3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93</v>
      </c>
      <c r="B2" s="13">
        <v>15</v>
      </c>
      <c r="D2" s="16" t="s">
        <v>94</v>
      </c>
    </row>
    <row r="3" spans="1:4" ht="25" customHeight="1" x14ac:dyDescent="0.25">
      <c r="A3" s="13" t="s">
        <v>63</v>
      </c>
      <c r="B3" s="13">
        <v>36</v>
      </c>
      <c r="D3" s="15"/>
    </row>
    <row r="4" spans="1:4" ht="25" customHeight="1" x14ac:dyDescent="0.25">
      <c r="A4" s="13" t="s">
        <v>71</v>
      </c>
      <c r="B4" s="13">
        <v>104.5</v>
      </c>
      <c r="D4" s="16" t="s">
        <v>95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45AC-C514-4670-8DE5-1087726B2633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5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96</v>
      </c>
      <c r="B2" s="13">
        <v>10</v>
      </c>
      <c r="D2" s="16" t="s">
        <v>99</v>
      </c>
    </row>
    <row r="3" spans="1:4" ht="25" customHeight="1" x14ac:dyDescent="0.25">
      <c r="A3" s="13" t="s">
        <v>97</v>
      </c>
      <c r="B3" s="13">
        <v>25</v>
      </c>
      <c r="D3" s="15"/>
    </row>
    <row r="4" spans="1:4" ht="25" customHeight="1" x14ac:dyDescent="0.25">
      <c r="A4" s="13" t="s">
        <v>98</v>
      </c>
      <c r="B4" s="13">
        <v>100</v>
      </c>
      <c r="D4" s="16" t="s">
        <v>100</v>
      </c>
    </row>
    <row r="5" spans="1:4" x14ac:dyDescent="0.25"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3700-9191-4E5A-99F4-CA1A4472523C}">
  <dimension ref="A1:C1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101</v>
      </c>
      <c r="C1" s="14" t="s">
        <v>66</v>
      </c>
    </row>
    <row r="2" spans="1:3" ht="25" customHeight="1" x14ac:dyDescent="0.25">
      <c r="A2" s="13">
        <v>12</v>
      </c>
      <c r="C2" s="16" t="s">
        <v>102</v>
      </c>
    </row>
    <row r="3" spans="1:3" ht="25" customHeight="1" x14ac:dyDescent="0.25">
      <c r="A3" s="13">
        <v>15</v>
      </c>
      <c r="C3" s="15"/>
    </row>
    <row r="4" spans="1:3" ht="25" customHeight="1" x14ac:dyDescent="0.25">
      <c r="A4" s="13">
        <v>9</v>
      </c>
      <c r="C4" s="16" t="s">
        <v>103</v>
      </c>
    </row>
    <row r="5" spans="1:3" ht="25" customHeight="1" x14ac:dyDescent="0.25">
      <c r="A5" s="13">
        <v>14</v>
      </c>
      <c r="C5" s="15"/>
    </row>
    <row r="6" spans="1:3" ht="25" customHeight="1" x14ac:dyDescent="0.25">
      <c r="A6" s="13">
        <v>11</v>
      </c>
      <c r="C6" s="15"/>
    </row>
    <row r="7" spans="1:3" ht="25" customHeight="1" x14ac:dyDescent="0.25">
      <c r="A7" s="13">
        <v>13</v>
      </c>
      <c r="C7" s="15"/>
    </row>
    <row r="8" spans="1:3" ht="25" customHeight="1" x14ac:dyDescent="0.25">
      <c r="A8" s="13">
        <v>16</v>
      </c>
    </row>
    <row r="9" spans="1:3" ht="25" customHeight="1" x14ac:dyDescent="0.25">
      <c r="A9" s="13">
        <v>10</v>
      </c>
    </row>
    <row r="10" spans="1:3" ht="25" customHeight="1" x14ac:dyDescent="0.25">
      <c r="A10" s="13">
        <v>12</v>
      </c>
    </row>
    <row r="11" spans="1:3" ht="25" customHeight="1" x14ac:dyDescent="0.25">
      <c r="A11" s="13">
        <v>14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B9F6-F97B-429D-B6BE-BE188C4977E9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7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104</v>
      </c>
      <c r="B2" s="13">
        <v>30</v>
      </c>
      <c r="D2" s="16" t="s">
        <v>105</v>
      </c>
    </row>
    <row r="3" spans="1:4" ht="25" customHeight="1" x14ac:dyDescent="0.25">
      <c r="A3" s="13" t="s">
        <v>63</v>
      </c>
      <c r="B3" s="13">
        <v>16</v>
      </c>
      <c r="D3" s="15"/>
    </row>
    <row r="4" spans="1:4" ht="25" customHeight="1" x14ac:dyDescent="0.25">
      <c r="A4" s="13" t="s">
        <v>64</v>
      </c>
      <c r="B4" s="13">
        <v>32.4</v>
      </c>
      <c r="D4" s="16" t="s">
        <v>100</v>
      </c>
    </row>
    <row r="5" spans="1:4" ht="25" customHeight="1" x14ac:dyDescent="0.25">
      <c r="A5" s="13" t="s">
        <v>76</v>
      </c>
      <c r="B5" s="13">
        <v>4.8</v>
      </c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BF6B-7BD6-4A20-BCF5-39B4F85B6A0F}">
  <dimension ref="A1:C2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22.625" customWidth="1"/>
    <col min="3" max="3" width="60.625" customWidth="1"/>
  </cols>
  <sheetData>
    <row r="1" spans="1:3" ht="46.05" customHeight="1" x14ac:dyDescent="0.25">
      <c r="A1" s="4" t="s">
        <v>106</v>
      </c>
      <c r="C1" s="14" t="s">
        <v>66</v>
      </c>
    </row>
    <row r="2" spans="1:3" ht="25" customHeight="1" x14ac:dyDescent="0.25">
      <c r="A2" s="13">
        <v>18</v>
      </c>
      <c r="C2" s="16" t="s">
        <v>107</v>
      </c>
    </row>
    <row r="3" spans="1:3" ht="25" customHeight="1" x14ac:dyDescent="0.25">
      <c r="A3" s="13">
        <v>22</v>
      </c>
      <c r="C3" s="15"/>
    </row>
    <row r="4" spans="1:3" ht="25" customHeight="1" x14ac:dyDescent="0.25">
      <c r="A4" s="13">
        <v>25</v>
      </c>
      <c r="C4" s="16" t="s">
        <v>108</v>
      </c>
    </row>
    <row r="5" spans="1:3" ht="25" customHeight="1" x14ac:dyDescent="0.25">
      <c r="A5" s="13">
        <v>19</v>
      </c>
      <c r="C5" s="15"/>
    </row>
    <row r="6" spans="1:3" ht="25" customHeight="1" x14ac:dyDescent="0.25">
      <c r="A6" s="13">
        <v>24</v>
      </c>
      <c r="C6" s="15"/>
    </row>
    <row r="7" spans="1:3" ht="25" customHeight="1" x14ac:dyDescent="0.25">
      <c r="A7" s="13">
        <v>21</v>
      </c>
      <c r="C7" s="15"/>
    </row>
    <row r="8" spans="1:3" ht="25" customHeight="1" x14ac:dyDescent="0.25">
      <c r="A8" s="13">
        <v>27</v>
      </c>
    </row>
    <row r="9" spans="1:3" ht="25" customHeight="1" x14ac:dyDescent="0.25">
      <c r="A9" s="13">
        <v>17</v>
      </c>
    </row>
    <row r="10" spans="1:3" ht="25" customHeight="1" x14ac:dyDescent="0.25">
      <c r="A10" s="13">
        <v>23</v>
      </c>
    </row>
    <row r="11" spans="1:3" ht="25" customHeight="1" x14ac:dyDescent="0.25">
      <c r="A11" s="13">
        <v>20</v>
      </c>
    </row>
    <row r="12" spans="1:3" ht="25" customHeight="1" x14ac:dyDescent="0.25">
      <c r="A12" s="13">
        <v>26</v>
      </c>
    </row>
    <row r="13" spans="1:3" ht="25" customHeight="1" x14ac:dyDescent="0.25">
      <c r="A13" s="13">
        <v>22</v>
      </c>
    </row>
    <row r="14" spans="1:3" ht="25" customHeight="1" x14ac:dyDescent="0.25">
      <c r="A14" s="13">
        <v>19</v>
      </c>
    </row>
    <row r="15" spans="1:3" ht="25" customHeight="1" x14ac:dyDescent="0.25">
      <c r="A15" s="13">
        <v>28</v>
      </c>
    </row>
    <row r="16" spans="1:3" ht="25" customHeight="1" x14ac:dyDescent="0.25">
      <c r="A16" s="13">
        <v>21</v>
      </c>
    </row>
    <row r="17" spans="1:1" ht="25" customHeight="1" x14ac:dyDescent="0.25">
      <c r="A17" s="13">
        <v>24</v>
      </c>
    </row>
    <row r="18" spans="1:1" ht="25" customHeight="1" x14ac:dyDescent="0.25">
      <c r="A18" s="13">
        <v>18</v>
      </c>
    </row>
    <row r="19" spans="1:1" ht="25" customHeight="1" x14ac:dyDescent="0.25">
      <c r="A19" s="13">
        <v>25</v>
      </c>
    </row>
    <row r="20" spans="1:1" ht="25" customHeight="1" x14ac:dyDescent="0.25">
      <c r="A20" s="13">
        <v>23</v>
      </c>
    </row>
    <row r="21" spans="1:1" ht="25" customHeight="1" x14ac:dyDescent="0.25">
      <c r="A21" s="13">
        <v>22</v>
      </c>
    </row>
  </sheetData>
  <mergeCells count="2">
    <mergeCell ref="C2:C3"/>
    <mergeCell ref="C4:C7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CF77-EE94-4006-8D36-0FDE47643C73}">
  <dimension ref="A1:F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4" width="22.625" customWidth="1"/>
    <col min="6" max="6" width="60.625" customWidth="1"/>
  </cols>
  <sheetData>
    <row r="1" spans="1:6" ht="46.05" customHeight="1" x14ac:dyDescent="0.25">
      <c r="A1" s="4" t="s">
        <v>75</v>
      </c>
      <c r="B1" s="4" t="s">
        <v>109</v>
      </c>
      <c r="C1" s="4" t="s">
        <v>110</v>
      </c>
      <c r="D1" s="4" t="s">
        <v>111</v>
      </c>
      <c r="F1" s="14" t="s">
        <v>66</v>
      </c>
    </row>
    <row r="2" spans="1:6" ht="25" customHeight="1" x14ac:dyDescent="0.25">
      <c r="A2" s="13" t="s">
        <v>112</v>
      </c>
      <c r="B2" s="13" t="s">
        <v>113</v>
      </c>
      <c r="C2" s="13">
        <v>480</v>
      </c>
      <c r="D2" s="13">
        <v>495</v>
      </c>
      <c r="F2" s="16" t="s">
        <v>119</v>
      </c>
    </row>
    <row r="3" spans="1:6" ht="25" customHeight="1" x14ac:dyDescent="0.25">
      <c r="A3" s="13" t="s">
        <v>114</v>
      </c>
      <c r="B3" s="13" t="s">
        <v>113</v>
      </c>
      <c r="C3" s="13">
        <v>490</v>
      </c>
      <c r="D3" s="13">
        <v>515</v>
      </c>
      <c r="F3" s="15"/>
    </row>
    <row r="4" spans="1:6" ht="25" customHeight="1" x14ac:dyDescent="0.25">
      <c r="A4" s="13" t="s">
        <v>115</v>
      </c>
      <c r="B4" s="13" t="s">
        <v>113</v>
      </c>
      <c r="C4" s="13">
        <v>500</v>
      </c>
      <c r="D4" s="13">
        <v>520</v>
      </c>
      <c r="F4" s="16" t="s">
        <v>120</v>
      </c>
    </row>
    <row r="5" spans="1:6" ht="25" customHeight="1" x14ac:dyDescent="0.25">
      <c r="A5" s="13" t="s">
        <v>116</v>
      </c>
      <c r="B5" s="13" t="s">
        <v>113</v>
      </c>
      <c r="C5" s="13">
        <v>505</v>
      </c>
      <c r="D5" s="13">
        <v>540</v>
      </c>
      <c r="F5" s="15"/>
    </row>
    <row r="6" spans="1:6" ht="25" customHeight="1" x14ac:dyDescent="0.25">
      <c r="A6" s="13" t="s">
        <v>117</v>
      </c>
      <c r="B6" s="13" t="s">
        <v>118</v>
      </c>
      <c r="C6" s="13">
        <v>492</v>
      </c>
      <c r="D6" s="13">
        <v>498</v>
      </c>
      <c r="F6" s="15"/>
    </row>
    <row r="7" spans="1:6" x14ac:dyDescent="0.25">
      <c r="F7" s="15"/>
    </row>
  </sheetData>
  <mergeCells count="2">
    <mergeCell ref="F2:F3"/>
    <mergeCell ref="F4:F7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3EF8-4A5D-4339-BC81-73ADA3A5A143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8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121</v>
      </c>
      <c r="B2" s="13">
        <v>15</v>
      </c>
      <c r="D2" s="16" t="s">
        <v>125</v>
      </c>
    </row>
    <row r="3" spans="1:4" ht="25" customHeight="1" x14ac:dyDescent="0.25">
      <c r="A3" s="13" t="s">
        <v>122</v>
      </c>
      <c r="B3" s="13">
        <v>6</v>
      </c>
      <c r="D3" s="15"/>
    </row>
    <row r="4" spans="1:4" ht="25" customHeight="1" x14ac:dyDescent="0.25">
      <c r="A4" s="13" t="s">
        <v>123</v>
      </c>
      <c r="B4" s="13">
        <v>25</v>
      </c>
      <c r="D4" s="16" t="s">
        <v>126</v>
      </c>
    </row>
    <row r="5" spans="1:4" ht="25" customHeight="1" x14ac:dyDescent="0.25">
      <c r="A5" s="13" t="s">
        <v>124</v>
      </c>
      <c r="B5" s="13">
        <v>2</v>
      </c>
      <c r="D5" s="15"/>
    </row>
    <row r="6" spans="1:4" x14ac:dyDescent="0.25"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F721-FF8D-41F7-8271-36AD545A3AC8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7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121</v>
      </c>
      <c r="B2" s="13">
        <v>25</v>
      </c>
      <c r="D2" s="16" t="s">
        <v>128</v>
      </c>
    </row>
    <row r="3" spans="1:4" ht="25" customHeight="1" x14ac:dyDescent="0.25">
      <c r="A3" s="13" t="s">
        <v>127</v>
      </c>
      <c r="B3" s="13">
        <v>2</v>
      </c>
      <c r="D3" s="15"/>
    </row>
    <row r="4" spans="1:4" ht="25" customHeight="1" x14ac:dyDescent="0.25">
      <c r="A4" s="13" t="s">
        <v>64</v>
      </c>
      <c r="B4" s="13">
        <v>25.6</v>
      </c>
      <c r="D4" s="16" t="s">
        <v>129</v>
      </c>
    </row>
    <row r="5" spans="1:4" ht="25" customHeight="1" x14ac:dyDescent="0.25">
      <c r="A5" s="13" t="s">
        <v>76</v>
      </c>
      <c r="B5" s="13">
        <v>6</v>
      </c>
      <c r="D5" s="15"/>
    </row>
    <row r="6" spans="1:4" ht="25" customHeight="1" x14ac:dyDescent="0.25">
      <c r="A6" s="13" t="s">
        <v>63</v>
      </c>
      <c r="B6" s="13">
        <v>150</v>
      </c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D8D9-9446-4CFF-9710-EB49EEDBC483}">
  <dimension ref="A1:G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5" width="22.625" customWidth="1"/>
    <col min="7" max="7" width="60.625" customWidth="1"/>
  </cols>
  <sheetData>
    <row r="1" spans="1:7" ht="46.05" customHeight="1" x14ac:dyDescent="0.25">
      <c r="A1" s="4" t="s">
        <v>75</v>
      </c>
      <c r="B1" s="4" t="s">
        <v>130</v>
      </c>
      <c r="C1" s="4" t="s">
        <v>131</v>
      </c>
      <c r="D1" s="4" t="s">
        <v>132</v>
      </c>
      <c r="E1" s="4" t="s">
        <v>133</v>
      </c>
      <c r="G1" s="14" t="s">
        <v>66</v>
      </c>
    </row>
    <row r="2" spans="1:7" ht="25" customHeight="1" x14ac:dyDescent="0.25">
      <c r="A2" s="13" t="s">
        <v>134</v>
      </c>
      <c r="B2" s="13">
        <v>473.6</v>
      </c>
      <c r="C2" s="13">
        <v>511.4</v>
      </c>
      <c r="D2" s="13">
        <v>476.6</v>
      </c>
      <c r="E2" s="13">
        <v>508.4</v>
      </c>
      <c r="G2" s="16" t="s">
        <v>139</v>
      </c>
    </row>
    <row r="3" spans="1:7" ht="25" customHeight="1" x14ac:dyDescent="0.25">
      <c r="A3" s="13" t="s">
        <v>135</v>
      </c>
      <c r="B3" s="13">
        <v>503</v>
      </c>
      <c r="C3" s="13">
        <v>512</v>
      </c>
      <c r="D3" s="13">
        <v>503.7</v>
      </c>
      <c r="E3" s="13">
        <v>511.3</v>
      </c>
      <c r="G3" s="15"/>
    </row>
    <row r="4" spans="1:7" ht="25" customHeight="1" x14ac:dyDescent="0.25">
      <c r="A4" s="13" t="s">
        <v>136</v>
      </c>
      <c r="B4" s="13">
        <v>488</v>
      </c>
      <c r="C4" s="13">
        <v>506</v>
      </c>
      <c r="D4" s="13">
        <v>489.4</v>
      </c>
      <c r="E4" s="13">
        <v>504.6</v>
      </c>
      <c r="G4" s="16" t="s">
        <v>140</v>
      </c>
    </row>
    <row r="5" spans="1:7" ht="25" customHeight="1" x14ac:dyDescent="0.25">
      <c r="A5" s="13" t="s">
        <v>137</v>
      </c>
      <c r="B5" s="13">
        <v>525</v>
      </c>
      <c r="C5" s="13">
        <v>560</v>
      </c>
      <c r="D5" s="13">
        <v>527.79999999999995</v>
      </c>
      <c r="E5" s="13">
        <v>557.20000000000005</v>
      </c>
      <c r="G5" s="15"/>
    </row>
    <row r="6" spans="1:7" ht="25" customHeight="1" x14ac:dyDescent="0.25">
      <c r="A6" s="13" t="s">
        <v>138</v>
      </c>
      <c r="B6" s="13">
        <v>505</v>
      </c>
      <c r="C6" s="13">
        <v>535</v>
      </c>
      <c r="D6" s="13">
        <v>507.4</v>
      </c>
      <c r="E6" s="13">
        <v>532.6</v>
      </c>
      <c r="G6" s="15"/>
    </row>
    <row r="7" spans="1:7" x14ac:dyDescent="0.25">
      <c r="G7" s="15"/>
    </row>
  </sheetData>
  <mergeCells count="2">
    <mergeCell ref="G2:G3"/>
    <mergeCell ref="G4:G7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7D66-FD8A-498A-8211-58001842EDE1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7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60</v>
      </c>
      <c r="B1" s="4" t="s">
        <v>1</v>
      </c>
      <c r="D1" s="14" t="s">
        <v>66</v>
      </c>
    </row>
    <row r="2" spans="1:4" ht="25" customHeight="1" x14ac:dyDescent="0.25">
      <c r="A2" s="13" t="s">
        <v>121</v>
      </c>
      <c r="B2" s="13">
        <v>50</v>
      </c>
      <c r="D2" s="16" t="s">
        <v>142</v>
      </c>
    </row>
    <row r="3" spans="1:4" ht="25" customHeight="1" x14ac:dyDescent="0.25">
      <c r="A3" s="13" t="s">
        <v>141</v>
      </c>
      <c r="B3" s="13">
        <v>3</v>
      </c>
      <c r="D3" s="15"/>
    </row>
    <row r="4" spans="1:4" ht="25" customHeight="1" x14ac:dyDescent="0.25">
      <c r="A4" s="13" t="s">
        <v>64</v>
      </c>
      <c r="B4" s="13">
        <v>48.2</v>
      </c>
      <c r="D4" s="16" t="s">
        <v>143</v>
      </c>
    </row>
    <row r="5" spans="1:4" ht="25" customHeight="1" x14ac:dyDescent="0.25">
      <c r="A5" s="13" t="s">
        <v>76</v>
      </c>
      <c r="B5" s="13">
        <v>10</v>
      </c>
      <c r="D5" s="15"/>
    </row>
    <row r="6" spans="1:4" ht="25" customHeight="1" x14ac:dyDescent="0.25">
      <c r="A6" s="13" t="s">
        <v>63</v>
      </c>
      <c r="B6" s="13">
        <v>200</v>
      </c>
      <c r="D6" s="15"/>
    </row>
    <row r="7" spans="1:4" x14ac:dyDescent="0.25">
      <c r="D7" s="15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19</vt:i4>
      </vt:variant>
    </vt:vector>
  </HeadingPairs>
  <TitlesOfParts>
    <vt:vector size="19" baseType="lpstr">
      <vt:lpstr>Prehled</vt:lpstr>
      <vt:lpstr>Interval_z</vt:lpstr>
      <vt:lpstr>Interval_t</vt:lpstr>
      <vt:lpstr>T_test</vt:lpstr>
      <vt:lpstr>Ekvivalence</vt:lpstr>
      <vt:lpstr>Pozornost</vt:lpstr>
      <vt:lpstr>PDI</vt:lpstr>
      <vt:lpstr>Studie_ekv</vt:lpstr>
      <vt:lpstr>Sim_intervaly</vt:lpstr>
      <vt:lpstr>U01_IQ</vt:lpstr>
      <vt:lpstr>U03_sirka</vt:lpstr>
      <vt:lpstr>U05_slova</vt:lpstr>
      <vt:lpstr>U06_pohoda</vt:lpstr>
      <vt:lpstr>U07_uzkost</vt:lpstr>
      <vt:lpstr>U08_intervaly</vt:lpstr>
      <vt:lpstr>U09_deprese</vt:lpstr>
      <vt:lpstr>U10_spokojenost</vt:lpstr>
      <vt:lpstr>U11_studie</vt:lpstr>
      <vt:lpstr>U14_neinferiorita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2026-10-17T12:00:21Z</dcterms:created>
  <dcterms:modified xsi:type="dcterms:W3CDTF">2026-10-17T12:00:29Z</dcterms:modified>
</cp:coreProperties>
</file>