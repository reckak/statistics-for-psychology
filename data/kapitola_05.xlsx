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8_{7CAF77E1-AE13-4CB7-BA51-807534603A2E}" xr6:coauthVersionLast="47" xr6:coauthVersionMax="47" xr10:uidLastSave="{00000000-0000-0000-0000-000000000000}"/>
  <bookViews>
    <workbookView xWindow="-109" yWindow="-109" windowWidth="34995" windowHeight="19060" xr2:uid="{1CF803C7-E1EE-4F21-98EB-C4BFD4F9078C}"/>
  </bookViews>
  <sheets>
    <sheet name="Prehled" sheetId="1" r:id="rId1"/>
    <sheet name="Bayes" sheetId="2" r:id="rId2"/>
    <sheet name="Binom" sheetId="3" r:id="rId3"/>
    <sheet name="Binom_20" sheetId="4" r:id="rId4"/>
    <sheet name="Aproximace" sheetId="5" r:id="rId5"/>
    <sheet name="Karticky" sheetId="6" r:id="rId6"/>
    <sheet name="Tabulka_zavislost" sheetId="7" r:id="rId7"/>
    <sheet name="Tabulka_nezavislost" sheetId="8" r:id="rId8"/>
    <sheet name="Screening" sheetId="9" r:id="rId9"/>
    <sheet name="Test_hadani" sheetId="10" r:id="rId10"/>
    <sheet name="Sim_hadani" sheetId="11" r:id="rId11"/>
    <sheet name="Rozpoznavani" sheetId="12" r:id="rId12"/>
    <sheet name="Losovani" sheetId="13" r:id="rId13"/>
    <sheet name="U01_emoce" sheetId="14" r:id="rId14"/>
    <sheet name="U03_tabulka" sheetId="15" r:id="rId15"/>
    <sheet name="U04_vstupy" sheetId="16" r:id="rId16"/>
    <sheet name="U06_screening" sheetId="17" r:id="rId17"/>
    <sheet name="U07_taxi" sheetId="18" r:id="rId18"/>
    <sheet name="U08_rozdeleni" sheetId="19" r:id="rId19"/>
    <sheet name="U09_test" sheetId="20" r:id="rId20"/>
    <sheet name="U10_test" sheetId="21" r:id="rId21"/>
    <sheet name="U11_aproximace" sheetId="2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5" l="1"/>
  <c r="B14" i="5"/>
  <c r="B16" i="5" s="1"/>
  <c r="B11" i="5"/>
  <c r="B8" i="5"/>
  <c r="B7" i="5"/>
  <c r="B6" i="5"/>
  <c r="B12" i="5" s="1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B13" i="4"/>
  <c r="B12" i="4"/>
  <c r="B11" i="4"/>
  <c r="B10" i="4"/>
  <c r="B9" i="4"/>
  <c r="B8" i="4"/>
  <c r="B7" i="4"/>
  <c r="B18" i="3"/>
  <c r="B19" i="3" s="1"/>
  <c r="B17" i="3"/>
  <c r="B15" i="3"/>
  <c r="B14" i="3"/>
  <c r="C11" i="3"/>
  <c r="D11" i="3" s="1"/>
  <c r="B11" i="3"/>
  <c r="D10" i="3"/>
  <c r="C10" i="3"/>
  <c r="B10" i="3"/>
  <c r="C9" i="3"/>
  <c r="D9" i="3" s="1"/>
  <c r="B9" i="3"/>
  <c r="C8" i="3"/>
  <c r="D8" i="3" s="1"/>
  <c r="B8" i="3"/>
  <c r="C7" i="3"/>
  <c r="D7" i="3" s="1"/>
  <c r="B7" i="3"/>
  <c r="B13" i="3" s="1"/>
  <c r="D6" i="3"/>
  <c r="C6" i="3"/>
  <c r="B6" i="3"/>
  <c r="B19" i="2"/>
  <c r="B20" i="2" s="1"/>
  <c r="B11" i="2"/>
  <c r="B12" i="2" s="1"/>
  <c r="B9" i="2"/>
  <c r="B10" i="2" s="1"/>
  <c r="B14" i="2" s="1"/>
  <c r="B8" i="2"/>
  <c r="B7" i="2"/>
  <c r="B17" i="2" l="1"/>
  <c r="B13" i="2"/>
  <c r="B9" i="5"/>
  <c r="B10" i="5" s="1"/>
  <c r="B16" i="2"/>
</calcChain>
</file>

<file path=xl/sharedStrings.xml><?xml version="1.0" encoding="utf-8"?>
<sst xmlns="http://schemas.openxmlformats.org/spreadsheetml/2006/main" count="296" uniqueCount="196">
  <si>
    <t>Screening</t>
  </si>
  <si>
    <t>Hodnota</t>
  </si>
  <si>
    <t>Počet osob</t>
  </si>
  <si>
    <t>Prevalence</t>
  </si>
  <si>
    <t>Senzitivita</t>
  </si>
  <si>
    <t>Specificita</t>
  </si>
  <si>
    <t>Porucha přítomna</t>
  </si>
  <si>
    <t>Porucha nepřítomna</t>
  </si>
  <si>
    <t>Správně pozitivní</t>
  </si>
  <si>
    <t>Falešně negativní</t>
  </si>
  <si>
    <t>Falešně pozitivní</t>
  </si>
  <si>
    <t>Správně negativní</t>
  </si>
  <si>
    <t>Pozitivní celkem</t>
  </si>
  <si>
    <t>Negativní celkem</t>
  </si>
  <si>
    <t>Pozitivní prediktivní hodnota</t>
  </si>
  <si>
    <t>Negativní prediktivní hodnota</t>
  </si>
  <si>
    <t>Úplná pravděpodobnost pozitivního výsledku</t>
  </si>
  <si>
    <t>Bayesova věta: porucha při pozitivním výsledku</t>
  </si>
  <si>
    <t>Modelové hodnoty zvolené pro výklad.</t>
  </si>
  <si>
    <t>Nejde o vlastnosti skutečného dotazníku.</t>
  </si>
  <si>
    <t>Žlutě: vstupy. Modře: výpočty.</t>
  </si>
  <si>
    <t>Přirozené četnosti: postupné členění téže skupiny.</t>
  </si>
  <si>
    <t>Při prevalenci 0,01 zvolte 10 000 osob,</t>
  </si>
  <si>
    <t>aby vycházely celé počty.</t>
  </si>
  <si>
    <t>B16 a B20 se musí shodovat.</t>
  </si>
  <si>
    <t>České vzorce a postup: kapitola 5 učebnice.</t>
  </si>
  <si>
    <t>Binomický model</t>
  </si>
  <si>
    <t>Počet pokusů n</t>
  </si>
  <si>
    <t>Pravděpodobnost úspěchu π</t>
  </si>
  <si>
    <t>Počet úspěchů k</t>
  </si>
  <si>
    <t>P(X = k)</t>
  </si>
  <si>
    <t>P(X ≤ k)</t>
  </si>
  <si>
    <t>P(X ≥ k)</t>
  </si>
  <si>
    <t>Součet pravděpodobností</t>
  </si>
  <si>
    <t>Střední hodnota</t>
  </si>
  <si>
    <t>Směrodatná odchylka</t>
  </si>
  <si>
    <t>Faktoriál 5!</t>
  </si>
  <si>
    <t>Kombinační číslo 5 nad 2</t>
  </si>
  <si>
    <t>Ruční výpočet P(X = 2)</t>
  </si>
  <si>
    <t>Model náhodného a nezávislého tipování.</t>
  </si>
  <si>
    <t>Tabulka je připravena pro n = 5 (k od 0 do 5).</t>
  </si>
  <si>
    <t>Změnou B3 zjistíte vliv pravděpodobnosti úspěchu.</t>
  </si>
  <si>
    <t>Součet musí být 1.</t>
  </si>
  <si>
    <t>B19 se má shodovat s B8 při n = 5.</t>
  </si>
  <si>
    <t>Delší test</t>
  </si>
  <si>
    <t>k</t>
  </si>
  <si>
    <t>Hodnota pro právě a nejvýše</t>
  </si>
  <si>
    <t>Hranice pro alespoň</t>
  </si>
  <si>
    <t>Právě: P(X = 5)</t>
  </si>
  <si>
    <t>Nejvýše: P(X ≤ 5)</t>
  </si>
  <si>
    <t>Alespoň: P(X ≥ 10)</t>
  </si>
  <si>
    <t>Totéž funkcí BINOM.DIST.RANGE</t>
  </si>
  <si>
    <t>Nejmenší k s P(X ≤ k) alespoň 0,95</t>
  </si>
  <si>
    <t>Sloupce D a E: celé rozdělení pro n = 20.</t>
  </si>
  <si>
    <t>Alespoň 10 = 1 − nejvýše 9, proto B5 − 1.</t>
  </si>
  <si>
    <t>Normální aproximace</t>
  </si>
  <si>
    <t>Hranice počtu úspěchů</t>
  </si>
  <si>
    <t>Očekávaný počet úspěchů</t>
  </si>
  <si>
    <t>Očekávaný počet neúspěchů</t>
  </si>
  <si>
    <t>Z-skór hranice</t>
  </si>
  <si>
    <t>Normální aproximace: alespoň hranice</t>
  </si>
  <si>
    <t>Přesná binomická hodnota</t>
  </si>
  <si>
    <t>Aproximace od hranice − 0,5</t>
  </si>
  <si>
    <t>Pozorovaný podíl</t>
  </si>
  <si>
    <t>Směrodatná odchylka podílu</t>
  </si>
  <si>
    <t>Z-skór podílu</t>
  </si>
  <si>
    <t>Autorský model rozpoznávací úlohy.</t>
  </si>
  <si>
    <t>Orientační podmínka: B6 i B7 alespoň 10.</t>
  </si>
  <si>
    <t>Aproximace není přesná hodnota.</t>
  </si>
  <si>
    <t>Přesnou hodnotu vrací BINOM.DIST.</t>
  </si>
  <si>
    <t>B16 se shoduje s B9: změnila se jen jednotka.</t>
  </si>
  <si>
    <t>Slovní druh</t>
  </si>
  <si>
    <t>Podstatné jméno</t>
  </si>
  <si>
    <t>Sloveso</t>
  </si>
  <si>
    <t>Přídavné jméno</t>
  </si>
  <si>
    <t>Počet kartiček</t>
  </si>
  <si>
    <t>Použití a původ</t>
  </si>
  <si>
    <t>Výklad: výsledek, jev, doplněk, výběr bez vracení</t>
  </si>
  <si>
    <t>Autorská modelová krabice 100 kartiček. Četnosti, nikoli záznamy o lidech.</t>
  </si>
  <si>
    <t>Pohlaví</t>
  </si>
  <si>
    <t>Žena</t>
  </si>
  <si>
    <t>Muž</t>
  </si>
  <si>
    <t>Stres</t>
  </si>
  <si>
    <t>Pohoda</t>
  </si>
  <si>
    <t>Výklad: průnik, sjednocení, podmíněná pravděpodobnost, závislost</t>
  </si>
  <si>
    <t>Autorský modelový soubor 200 studentů. Četnosti kombinací, nikoli jednotliví lidé ani skutečný výzkum.</t>
  </si>
  <si>
    <t>Výklad: nezávislé jevy</t>
  </si>
  <si>
    <t>Druhý autorský modelový soubor 200 studentů se stejným podílem stresu v obou řádcích.</t>
  </si>
  <si>
    <t>Vstup</t>
  </si>
  <si>
    <t>Prevalence v poradně</t>
  </si>
  <si>
    <t>Prevalence při plošném použití</t>
  </si>
  <si>
    <t>Počet osob pro srovnání prevalencí</t>
  </si>
  <si>
    <t>Výklad: přirozené četnosti, úplná pravděpodobnost, Bayesova věta, dvě prevalence</t>
  </si>
  <si>
    <t>Modelové hodnoty zvolené pro výklad. Nejde o vlastnosti skutečného dotazníku ani o skutečný výskyt poruchy. Hotový výpočet je na listu Bayes.</t>
  </si>
  <si>
    <t>Počet otázek krátkého testu</t>
  </si>
  <si>
    <t>Počet možností u otázky</t>
  </si>
  <si>
    <t>Pravděpodobnost správného tipu</t>
  </si>
  <si>
    <t>Počet otázek delšího testu</t>
  </si>
  <si>
    <t>Výklad: rozdělení pravděpodobnosti, kombinace, binomické rozdělení</t>
  </si>
  <si>
    <t>Model zcela náhodného a nezávislého tipování; každá otázka má jedinou správnou možnost. Hotové výpočty jsou na listech Binom a Binom_20.</t>
  </si>
  <si>
    <t>Počet správných tipů</t>
  </si>
  <si>
    <t>Obrázek: model a data; počet správných tipů z pěti</t>
  </si>
  <si>
    <t>Simulovaná data z obrázku kapitoly: 40 studentů, každý pět nezávislých tipů s pravděpodobností úspěchu 0,25. Nejde o odpovědi skutečných lidí.</t>
  </si>
  <si>
    <t>Počet pokusů</t>
  </si>
  <si>
    <t>Pravděpodobnost správné odpovědi</t>
  </si>
  <si>
    <t>Hranice počtu správných odpovědí</t>
  </si>
  <si>
    <t>Výklad: normální aproximace a převod na podíl</t>
  </si>
  <si>
    <t>Autorský model rozpoznávací úlohy s nezávislými pokusy. Hotový výpočet je na listu Aproximace.</t>
  </si>
  <si>
    <t>Počet studentů</t>
  </si>
  <si>
    <t>Počet cen</t>
  </si>
  <si>
    <t>Nepovinné rozšíření: variace bez opakování</t>
  </si>
  <si>
    <t>Autorský příklad losování; při různých cenách záleží na pořadí, při stejných nikoli.</t>
  </si>
  <si>
    <t>Emoce</t>
  </si>
  <si>
    <t>Radost</t>
  </si>
  <si>
    <t>Smutek</t>
  </si>
  <si>
    <t>Strach</t>
  </si>
  <si>
    <t>Překvapení</t>
  </si>
  <si>
    <t>Počet fotografií</t>
  </si>
  <si>
    <t>Cvičení 1</t>
  </si>
  <si>
    <t>Autorská modelová sada 60 fotografií. Četnosti, nikoli odpovědi lidí.</t>
  </si>
  <si>
    <t>Sport</t>
  </si>
  <si>
    <t>Sportuje</t>
  </si>
  <si>
    <t>Nesportuje</t>
  </si>
  <si>
    <t>Dobrý spánek</t>
  </si>
  <si>
    <t>Špatný spánek</t>
  </si>
  <si>
    <t>Cvičení 3</t>
  </si>
  <si>
    <t>Autorský modelový soubor 150 studentů. Četnosti kombinací, nikoli jednotliví lidé.</t>
  </si>
  <si>
    <t>Počet tipovaných otázek</t>
  </si>
  <si>
    <t>Počet kartiček v sadě</t>
  </si>
  <si>
    <t>Počet cílových slov v sadě</t>
  </si>
  <si>
    <t>Cvičení 4</t>
  </si>
  <si>
    <t>Autorské ilustrační údaje. Nejde o skutečný výzkum.</t>
  </si>
  <si>
    <t>Prevalence v první skupině</t>
  </si>
  <si>
    <t>Prevalence ve druhé skupině</t>
  </si>
  <si>
    <t>Cvičení 6</t>
  </si>
  <si>
    <t>Modelové hodnoty. Nejde o vlastnosti skutečného dotazníku.</t>
  </si>
  <si>
    <t>Podíl zelených taxíků</t>
  </si>
  <si>
    <t>Podíl modrých taxíků</t>
  </si>
  <si>
    <t>Pravděpodobnost správného určení barvy</t>
  </si>
  <si>
    <t>Cvičení 7</t>
  </si>
  <si>
    <t>Čísla podle Howella (2013, s. 122–123), který uvádí úlohu Tverského a Kahnemana; znění zadání je upraveno.</t>
  </si>
  <si>
    <t>Počet vybavených slov</t>
  </si>
  <si>
    <t>Pravděpodobnost v modelu</t>
  </si>
  <si>
    <t>Četnost ve výběru 20 lidí</t>
  </si>
  <si>
    <t>Cvičení 8</t>
  </si>
  <si>
    <t>Autorský model a autorské ilustrační četnosti. Řádek je hodnota proměnné, nikoli účastník.</t>
  </si>
  <si>
    <t>Počet otázek</t>
  </si>
  <si>
    <t>Počet správných odpovědí v části a) a b)</t>
  </si>
  <si>
    <t>Cvičení 9</t>
  </si>
  <si>
    <t>Cvičení 10</t>
  </si>
  <si>
    <t>Cvičení 11</t>
  </si>
  <si>
    <t>Upraveno podle starší autorovy úlohy k normálnímu rozdělení.</t>
  </si>
  <si>
    <t>Data ke kapitole 5</t>
  </si>
  <si>
    <t>Začněte vstupy. Žluté buňky obsahují data; modré buňky na výpočtových listech vzorce.</t>
  </si>
  <si>
    <t>Zadání a vysvětlení jsou v kapitole. Řešení otevírejte až po vlastním pokusu.</t>
  </si>
  <si>
    <t>Slovní úlohy bez konkrétních čísel nevyžadují vlastní datový list.</t>
  </si>
  <si>
    <t>Pravděpodobnosti a modelové četnosti nejsou záznamy o jednotlivých lidech.</t>
  </si>
  <si>
    <t>List</t>
  </si>
  <si>
    <t>Oblast vstupů / tabulky</t>
  </si>
  <si>
    <t>Příklad nebo cvičení</t>
  </si>
  <si>
    <t>Karticky</t>
  </si>
  <si>
    <t>A2:B4</t>
  </si>
  <si>
    <t>Tabulka_zavislost</t>
  </si>
  <si>
    <t>A2:C3</t>
  </si>
  <si>
    <t>Tabulka_nezavislost</t>
  </si>
  <si>
    <t>A2:B7</t>
  </si>
  <si>
    <t>Test_hadani</t>
  </si>
  <si>
    <t>Sim_hadani</t>
  </si>
  <si>
    <t>A2:A41</t>
  </si>
  <si>
    <t>Rozpoznavani</t>
  </si>
  <si>
    <t>Losovani</t>
  </si>
  <si>
    <t>A2:B3</t>
  </si>
  <si>
    <t>U01_emoce</t>
  </si>
  <si>
    <t>A2:B5</t>
  </si>
  <si>
    <t>U03_tabulka</t>
  </si>
  <si>
    <t>U04_vstupy</t>
  </si>
  <si>
    <t>U06_screening</t>
  </si>
  <si>
    <t>A2:B6</t>
  </si>
  <si>
    <t>U07_taxi</t>
  </si>
  <si>
    <t>U08_rozdeleni</t>
  </si>
  <si>
    <t>A2:C5</t>
  </si>
  <si>
    <t>U09_test</t>
  </si>
  <si>
    <t>U10_test</t>
  </si>
  <si>
    <t>U11_aproximace</t>
  </si>
  <si>
    <t>Bayes</t>
  </si>
  <si>
    <t>A1:B20</t>
  </si>
  <si>
    <t>Hotové přirozené četnosti, úplná pravděpodobnost a Bayesova věta</t>
  </si>
  <si>
    <t>Binom</t>
  </si>
  <si>
    <t>A1:D19</t>
  </si>
  <si>
    <t>Hotové binomické rozdělení pro pět otázek</t>
  </si>
  <si>
    <t>Binom_20</t>
  </si>
  <si>
    <t>A1:E22</t>
  </si>
  <si>
    <t>Hotové výpočty právě, nejvýše a alespoň pro dvacet otázek</t>
  </si>
  <si>
    <t>Aproximace</t>
  </si>
  <si>
    <t>A1:B16</t>
  </si>
  <si>
    <t>Hotová normální aproximace, přesná hodnota a převod na podíl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</si>
</sst>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rgb="FF223744"/>
      <name val="Arial"/>
      <family val="2"/>
      <charset val="238"/>
    </font>
    <font>
      <b/>
      <sz val="11"/>
      <color rgb="FFFFFFFF"/>
      <name val="Arial"/>
      <family val="2"/>
      <charset val="238"/>
    </font>
    <font>
      <sz val="11"/>
      <color rgb="FF526775"/>
      <name val="Arial"/>
      <family val="2"/>
      <charset val="238"/>
    </font>
    <font>
      <b/>
      <sz val="16"/>
      <color rgb="FF223744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234F62"/>
        <bgColor indexed="64"/>
      </patternFill>
    </fill>
    <fill>
      <patternFill patternType="solid">
        <fgColor rgb="FFFFF1CB"/>
        <bgColor indexed="64"/>
      </patternFill>
    </fill>
    <fill>
      <patternFill patternType="solid">
        <fgColor rgb="FFEAF4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3" fontId="1" fillId="3" borderId="0" xfId="0" applyNumberFormat="1" applyFont="1" applyFill="1" applyAlignment="1">
      <alignment vertical="center"/>
    </xf>
    <xf numFmtId="2" fontId="1" fillId="3" borderId="0" xfId="0" applyNumberFormat="1" applyFont="1" applyFill="1" applyAlignment="1">
      <alignment vertical="center"/>
    </xf>
    <xf numFmtId="3" fontId="1" fillId="4" borderId="0" xfId="0" applyNumberFormat="1" applyFont="1" applyFill="1" applyAlignment="1">
      <alignment vertical="center"/>
    </xf>
    <xf numFmtId="164" fontId="1" fillId="4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1" fontId="1" fillId="3" borderId="0" xfId="0" applyNumberFormat="1" applyFont="1" applyFill="1" applyAlignment="1">
      <alignment vertical="center"/>
    </xf>
    <xf numFmtId="165" fontId="1" fillId="4" borderId="0" xfId="0" applyNumberFormat="1" applyFont="1" applyFill="1" applyAlignment="1">
      <alignment vertical="center"/>
    </xf>
    <xf numFmtId="2" fontId="1" fillId="4" borderId="0" xfId="0" applyNumberFormat="1" applyFont="1" applyFill="1" applyAlignment="1">
      <alignment vertical="center"/>
    </xf>
    <xf numFmtId="1" fontId="1" fillId="4" borderId="0" xfId="0" applyNumberFormat="1" applyFont="1" applyFill="1" applyAlignment="1">
      <alignment vertical="center"/>
    </xf>
    <xf numFmtId="166" fontId="1" fillId="4" borderId="0" xfId="0" applyNumberFormat="1" applyFont="1" applyFill="1" applyAlignment="1">
      <alignment vertical="center"/>
    </xf>
    <xf numFmtId="0" fontId="1" fillId="3" borderId="0" xfId="0" applyNumberFormat="1" applyFont="1" applyFill="1" applyAlignment="1">
      <alignment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03EB-420D-4784-A377-1655B3043EE5}">
  <dimension ref="A1:C31"/>
  <sheetViews>
    <sheetView showGridLines="0" tabSelected="1" workbookViewId="0">
      <pane ySplit="7" topLeftCell="A8" activePane="bottomLeft" state="frozen"/>
      <selection pane="bottomLeft" sqref="A1:C1"/>
    </sheetView>
  </sheetViews>
  <sheetFormatPr defaultRowHeight="14.3" x14ac:dyDescent="0.25"/>
  <cols>
    <col min="1" max="2" width="25.625" customWidth="1"/>
    <col min="3" max="3" width="78.625" customWidth="1"/>
  </cols>
  <sheetData>
    <row r="1" spans="1:3" ht="30.1" customHeight="1" x14ac:dyDescent="0.25">
      <c r="A1" s="17" t="s">
        <v>152</v>
      </c>
      <c r="B1" s="16"/>
      <c r="C1" s="16"/>
    </row>
    <row r="2" spans="1:3" ht="30.1" customHeight="1" x14ac:dyDescent="0.25">
      <c r="A2" s="1"/>
      <c r="B2" s="1"/>
      <c r="C2" s="1"/>
    </row>
    <row r="3" spans="1:3" ht="30.1" customHeight="1" x14ac:dyDescent="0.25">
      <c r="A3" s="16" t="s">
        <v>153</v>
      </c>
      <c r="B3" s="16"/>
      <c r="C3" s="16"/>
    </row>
    <row r="4" spans="1:3" ht="30.1" customHeight="1" x14ac:dyDescent="0.25">
      <c r="A4" s="16" t="s">
        <v>154</v>
      </c>
      <c r="B4" s="16"/>
      <c r="C4" s="16"/>
    </row>
    <row r="5" spans="1:3" ht="30.1" customHeight="1" x14ac:dyDescent="0.25">
      <c r="A5" s="16" t="s">
        <v>155</v>
      </c>
      <c r="B5" s="16"/>
      <c r="C5" s="16"/>
    </row>
    <row r="6" spans="1:3" ht="30.1" customHeight="1" x14ac:dyDescent="0.25">
      <c r="A6" s="16" t="s">
        <v>156</v>
      </c>
      <c r="B6" s="16"/>
      <c r="C6" s="16"/>
    </row>
    <row r="7" spans="1:3" ht="30.1" customHeight="1" x14ac:dyDescent="0.25">
      <c r="A7" s="2" t="s">
        <v>157</v>
      </c>
      <c r="B7" s="2" t="s">
        <v>158</v>
      </c>
      <c r="C7" s="2" t="s">
        <v>159</v>
      </c>
    </row>
    <row r="8" spans="1:3" ht="30.1" customHeight="1" x14ac:dyDescent="0.25">
      <c r="A8" s="1" t="s">
        <v>160</v>
      </c>
      <c r="B8" s="1" t="s">
        <v>161</v>
      </c>
      <c r="C8" s="1" t="s">
        <v>77</v>
      </c>
    </row>
    <row r="9" spans="1:3" ht="30.1" customHeight="1" x14ac:dyDescent="0.25">
      <c r="A9" s="1" t="s">
        <v>162</v>
      </c>
      <c r="B9" s="1" t="s">
        <v>163</v>
      </c>
      <c r="C9" s="1" t="s">
        <v>84</v>
      </c>
    </row>
    <row r="10" spans="1:3" ht="30.1" customHeight="1" x14ac:dyDescent="0.25">
      <c r="A10" s="1" t="s">
        <v>164</v>
      </c>
      <c r="B10" s="1" t="s">
        <v>163</v>
      </c>
      <c r="C10" s="1" t="s">
        <v>86</v>
      </c>
    </row>
    <row r="11" spans="1:3" ht="30.1" customHeight="1" x14ac:dyDescent="0.25">
      <c r="A11" s="1" t="s">
        <v>0</v>
      </c>
      <c r="B11" s="1" t="s">
        <v>165</v>
      </c>
      <c r="C11" s="1" t="s">
        <v>92</v>
      </c>
    </row>
    <row r="12" spans="1:3" ht="30.1" customHeight="1" x14ac:dyDescent="0.25">
      <c r="A12" s="1" t="s">
        <v>166</v>
      </c>
      <c r="B12" s="1" t="s">
        <v>165</v>
      </c>
      <c r="C12" s="1" t="s">
        <v>98</v>
      </c>
    </row>
    <row r="13" spans="1:3" ht="30.1" customHeight="1" x14ac:dyDescent="0.25">
      <c r="A13" s="1" t="s">
        <v>167</v>
      </c>
      <c r="B13" s="1" t="s">
        <v>168</v>
      </c>
      <c r="C13" s="1" t="s">
        <v>101</v>
      </c>
    </row>
    <row r="14" spans="1:3" ht="30.1" customHeight="1" x14ac:dyDescent="0.25">
      <c r="A14" s="1" t="s">
        <v>169</v>
      </c>
      <c r="B14" s="1" t="s">
        <v>161</v>
      </c>
      <c r="C14" s="1" t="s">
        <v>106</v>
      </c>
    </row>
    <row r="15" spans="1:3" ht="30.1" customHeight="1" x14ac:dyDescent="0.25">
      <c r="A15" s="1" t="s">
        <v>170</v>
      </c>
      <c r="B15" s="1" t="s">
        <v>171</v>
      </c>
      <c r="C15" s="1" t="s">
        <v>110</v>
      </c>
    </row>
    <row r="16" spans="1:3" ht="30.1" customHeight="1" x14ac:dyDescent="0.25">
      <c r="A16" s="1" t="s">
        <v>172</v>
      </c>
      <c r="B16" s="1" t="s">
        <v>173</v>
      </c>
      <c r="C16" s="1" t="s">
        <v>118</v>
      </c>
    </row>
    <row r="17" spans="1:3" ht="30.1" customHeight="1" x14ac:dyDescent="0.25">
      <c r="A17" s="1" t="s">
        <v>174</v>
      </c>
      <c r="B17" s="1" t="s">
        <v>163</v>
      </c>
      <c r="C17" s="1" t="s">
        <v>125</v>
      </c>
    </row>
    <row r="18" spans="1:3" ht="30.1" customHeight="1" x14ac:dyDescent="0.25">
      <c r="A18" s="1" t="s">
        <v>175</v>
      </c>
      <c r="B18" s="1" t="s">
        <v>173</v>
      </c>
      <c r="C18" s="1" t="s">
        <v>130</v>
      </c>
    </row>
    <row r="19" spans="1:3" ht="30.1" customHeight="1" x14ac:dyDescent="0.25">
      <c r="A19" s="1" t="s">
        <v>176</v>
      </c>
      <c r="B19" s="1" t="s">
        <v>177</v>
      </c>
      <c r="C19" s="1" t="s">
        <v>134</v>
      </c>
    </row>
    <row r="20" spans="1:3" ht="30.1" customHeight="1" x14ac:dyDescent="0.25">
      <c r="A20" s="1" t="s">
        <v>178</v>
      </c>
      <c r="B20" s="1" t="s">
        <v>161</v>
      </c>
      <c r="C20" s="1" t="s">
        <v>139</v>
      </c>
    </row>
    <row r="21" spans="1:3" ht="30.1" customHeight="1" x14ac:dyDescent="0.25">
      <c r="A21" s="1" t="s">
        <v>179</v>
      </c>
      <c r="B21" s="1" t="s">
        <v>180</v>
      </c>
      <c r="C21" s="1" t="s">
        <v>144</v>
      </c>
    </row>
    <row r="22" spans="1:3" ht="30.1" customHeight="1" x14ac:dyDescent="0.25">
      <c r="A22" s="1" t="s">
        <v>181</v>
      </c>
      <c r="B22" s="1" t="s">
        <v>161</v>
      </c>
      <c r="C22" s="1" t="s">
        <v>148</v>
      </c>
    </row>
    <row r="23" spans="1:3" ht="30.1" customHeight="1" x14ac:dyDescent="0.25">
      <c r="A23" s="1" t="s">
        <v>182</v>
      </c>
      <c r="B23" s="1" t="s">
        <v>173</v>
      </c>
      <c r="C23" s="1" t="s">
        <v>149</v>
      </c>
    </row>
    <row r="24" spans="1:3" ht="30.1" customHeight="1" x14ac:dyDescent="0.25">
      <c r="A24" s="1" t="s">
        <v>183</v>
      </c>
      <c r="B24" s="1" t="s">
        <v>161</v>
      </c>
      <c r="C24" s="1" t="s">
        <v>150</v>
      </c>
    </row>
    <row r="25" spans="1:3" ht="30.1" customHeight="1" x14ac:dyDescent="0.25">
      <c r="A25" s="1" t="s">
        <v>184</v>
      </c>
      <c r="B25" s="1" t="s">
        <v>185</v>
      </c>
      <c r="C25" s="1" t="s">
        <v>186</v>
      </c>
    </row>
    <row r="26" spans="1:3" ht="30.1" customHeight="1" x14ac:dyDescent="0.25">
      <c r="A26" s="1" t="s">
        <v>187</v>
      </c>
      <c r="B26" s="1" t="s">
        <v>188</v>
      </c>
      <c r="C26" s="1" t="s">
        <v>189</v>
      </c>
    </row>
    <row r="27" spans="1:3" ht="30.1" customHeight="1" x14ac:dyDescent="0.25">
      <c r="A27" s="1" t="s">
        <v>190</v>
      </c>
      <c r="B27" s="1" t="s">
        <v>191</v>
      </c>
      <c r="C27" s="1" t="s">
        <v>192</v>
      </c>
    </row>
    <row r="28" spans="1:3" ht="30.1" customHeight="1" x14ac:dyDescent="0.25">
      <c r="A28" s="1" t="s">
        <v>193</v>
      </c>
      <c r="B28" s="1" t="s">
        <v>194</v>
      </c>
      <c r="C28" s="1" t="s">
        <v>195</v>
      </c>
    </row>
    <row r="29" spans="1:3" ht="30.1" customHeight="1" x14ac:dyDescent="0.25">
      <c r="A29" s="1"/>
      <c r="B29" s="1"/>
      <c r="C29" s="1"/>
    </row>
    <row r="30" spans="1:3" ht="30.1" customHeight="1" x14ac:dyDescent="0.25">
      <c r="A30" s="1"/>
      <c r="B30" s="1"/>
      <c r="C30" s="1"/>
    </row>
    <row r="31" spans="1:3" ht="30.1" customHeight="1" x14ac:dyDescent="0.25">
      <c r="A31" s="1"/>
      <c r="B31" s="1"/>
      <c r="C31" s="1"/>
    </row>
  </sheetData>
  <mergeCells count="5">
    <mergeCell ref="A1:C1"/>
    <mergeCell ref="A3:C3"/>
    <mergeCell ref="A4:C4"/>
    <mergeCell ref="A5:C5"/>
    <mergeCell ref="A6:C6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5152-8E33-4FA1-B4D1-5320747CA676}">
  <dimension ref="A1:D20"/>
  <sheetViews>
    <sheetView workbookViewId="0"/>
  </sheetViews>
  <sheetFormatPr defaultRowHeight="13.6" x14ac:dyDescent="0.25"/>
  <cols>
    <col min="1" max="1" width="46.625" style="1" customWidth="1"/>
    <col min="2" max="2" width="14.625" style="1" customWidth="1"/>
    <col min="3" max="3" width="3.625" style="1" customWidth="1"/>
    <col min="4" max="4" width="58.625" style="1" customWidth="1"/>
    <col min="5" max="16384" width="9" style="1"/>
  </cols>
  <sheetData>
    <row r="1" spans="1:4" ht="34" customHeight="1" x14ac:dyDescent="0.25">
      <c r="A1" s="2" t="s">
        <v>0</v>
      </c>
      <c r="B1" s="2" t="s">
        <v>1</v>
      </c>
    </row>
    <row r="2" spans="1:4" x14ac:dyDescent="0.25">
      <c r="A2" s="1" t="s">
        <v>2</v>
      </c>
      <c r="B2" s="3">
        <v>1000</v>
      </c>
      <c r="D2" s="7" t="s">
        <v>18</v>
      </c>
    </row>
    <row r="3" spans="1:4" x14ac:dyDescent="0.25">
      <c r="A3" s="1" t="s">
        <v>3</v>
      </c>
      <c r="B3" s="4">
        <v>0.1</v>
      </c>
      <c r="D3" s="7" t="s">
        <v>19</v>
      </c>
    </row>
    <row r="4" spans="1:4" x14ac:dyDescent="0.25">
      <c r="A4" s="1" t="s">
        <v>4</v>
      </c>
      <c r="B4" s="4">
        <v>0.95</v>
      </c>
    </row>
    <row r="5" spans="1:4" x14ac:dyDescent="0.25">
      <c r="A5" s="1" t="s">
        <v>5</v>
      </c>
      <c r="B5" s="4">
        <v>0.9</v>
      </c>
      <c r="D5" s="7" t="s">
        <v>20</v>
      </c>
    </row>
    <row r="7" spans="1:4" x14ac:dyDescent="0.25">
      <c r="A7" s="1" t="s">
        <v>6</v>
      </c>
      <c r="B7" s="5">
        <f>B2*B3</f>
        <v>100</v>
      </c>
      <c r="D7" s="7" t="s">
        <v>21</v>
      </c>
    </row>
    <row r="8" spans="1:4" x14ac:dyDescent="0.25">
      <c r="A8" s="1" t="s">
        <v>7</v>
      </c>
      <c r="B8" s="5">
        <f>B2-B7</f>
        <v>900</v>
      </c>
    </row>
    <row r="9" spans="1:4" x14ac:dyDescent="0.25">
      <c r="A9" s="1" t="s">
        <v>8</v>
      </c>
      <c r="B9" s="5">
        <f>B7*B4</f>
        <v>95</v>
      </c>
      <c r="D9" s="7" t="s">
        <v>22</v>
      </c>
    </row>
    <row r="10" spans="1:4" x14ac:dyDescent="0.25">
      <c r="A10" s="1" t="s">
        <v>9</v>
      </c>
      <c r="B10" s="5">
        <f>B7-B9</f>
        <v>5</v>
      </c>
      <c r="D10" s="7" t="s">
        <v>23</v>
      </c>
    </row>
    <row r="11" spans="1:4" x14ac:dyDescent="0.25">
      <c r="A11" s="1" t="s">
        <v>10</v>
      </c>
      <c r="B11" s="5">
        <f>B8*(1-B5)</f>
        <v>89.999999999999986</v>
      </c>
    </row>
    <row r="12" spans="1:4" x14ac:dyDescent="0.25">
      <c r="A12" s="1" t="s">
        <v>11</v>
      </c>
      <c r="B12" s="5">
        <f>B8-B11</f>
        <v>810</v>
      </c>
    </row>
    <row r="13" spans="1:4" x14ac:dyDescent="0.25">
      <c r="A13" s="1" t="s">
        <v>12</v>
      </c>
      <c r="B13" s="5">
        <f>B9+B11</f>
        <v>185</v>
      </c>
    </row>
    <row r="14" spans="1:4" x14ac:dyDescent="0.25">
      <c r="A14" s="1" t="s">
        <v>13</v>
      </c>
      <c r="B14" s="5">
        <f>B10+B12</f>
        <v>815</v>
      </c>
    </row>
    <row r="16" spans="1:4" x14ac:dyDescent="0.25">
      <c r="A16" s="1" t="s">
        <v>14</v>
      </c>
      <c r="B16" s="6">
        <f>B9/B13</f>
        <v>0.51351351351351349</v>
      </c>
      <c r="D16" s="7" t="s">
        <v>24</v>
      </c>
    </row>
    <row r="17" spans="1:4" x14ac:dyDescent="0.25">
      <c r="A17" s="1" t="s">
        <v>15</v>
      </c>
      <c r="B17" s="6">
        <f>B12/B14</f>
        <v>0.99386503067484666</v>
      </c>
    </row>
    <row r="19" spans="1:4" x14ac:dyDescent="0.25">
      <c r="A19" s="1" t="s">
        <v>16</v>
      </c>
      <c r="B19" s="6">
        <f>B3*B4+(1-B3)*(1-B5)</f>
        <v>0.185</v>
      </c>
      <c r="D19" s="7" t="s">
        <v>25</v>
      </c>
    </row>
    <row r="20" spans="1:4" x14ac:dyDescent="0.25">
      <c r="A20" s="1" t="s">
        <v>17</v>
      </c>
      <c r="B20" s="6">
        <f>B3*B4/B19</f>
        <v>0.51351351351351349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2F10-6F44-4F90-B94B-6A0ADC90AA22}">
  <dimension ref="A1:F19"/>
  <sheetViews>
    <sheetView workbookViewId="0"/>
  </sheetViews>
  <sheetFormatPr defaultRowHeight="13.6" x14ac:dyDescent="0.25"/>
  <cols>
    <col min="1" max="1" width="34.625" style="1" customWidth="1"/>
    <col min="2" max="4" width="14.625" style="1" customWidth="1"/>
    <col min="5" max="5" width="3.625" style="1" customWidth="1"/>
    <col min="6" max="6" width="52.625" style="1" customWidth="1"/>
    <col min="7" max="16384" width="9" style="1"/>
  </cols>
  <sheetData>
    <row r="1" spans="1:6" ht="34" customHeight="1" x14ac:dyDescent="0.25">
      <c r="A1" s="2" t="s">
        <v>26</v>
      </c>
      <c r="B1" s="2" t="s">
        <v>1</v>
      </c>
    </row>
    <row r="2" spans="1:6" x14ac:dyDescent="0.25">
      <c r="A2" s="1" t="s">
        <v>27</v>
      </c>
      <c r="B2" s="8">
        <v>5</v>
      </c>
      <c r="F2" s="7" t="s">
        <v>39</v>
      </c>
    </row>
    <row r="3" spans="1:6" x14ac:dyDescent="0.25">
      <c r="A3" s="1" t="s">
        <v>28</v>
      </c>
      <c r="B3" s="4">
        <v>0.25</v>
      </c>
      <c r="F3" s="7" t="s">
        <v>40</v>
      </c>
    </row>
    <row r="5" spans="1:6" ht="34" customHeight="1" x14ac:dyDescent="0.25">
      <c r="A5" s="2" t="s">
        <v>29</v>
      </c>
      <c r="B5" s="2" t="s">
        <v>30</v>
      </c>
      <c r="C5" s="2" t="s">
        <v>31</v>
      </c>
      <c r="D5" s="2" t="s">
        <v>32</v>
      </c>
      <c r="F5" s="7" t="s">
        <v>20</v>
      </c>
    </row>
    <row r="6" spans="1:6" x14ac:dyDescent="0.25">
      <c r="A6" s="8">
        <v>0</v>
      </c>
      <c r="B6" s="9">
        <f>_xlfn.BINOM.DIST(A6,$B$2,$B$3,FALSE)</f>
        <v>0.23730468750000006</v>
      </c>
      <c r="C6" s="9">
        <f>_xlfn.BINOM.DIST(A6,$B$2,$B$3,TRUE)</f>
        <v>0.23730468750000006</v>
      </c>
      <c r="D6" s="9">
        <f>1-C6+B6</f>
        <v>1</v>
      </c>
    </row>
    <row r="7" spans="1:6" x14ac:dyDescent="0.25">
      <c r="A7" s="8">
        <v>1</v>
      </c>
      <c r="B7" s="9">
        <f>_xlfn.BINOM.DIST(A7,$B$2,$B$3,FALSE)</f>
        <v>0.3955078125</v>
      </c>
      <c r="C7" s="9">
        <f>_xlfn.BINOM.DIST(A7,$B$2,$B$3,TRUE)</f>
        <v>0.6328125</v>
      </c>
      <c r="D7" s="9">
        <f>1-C7+B7</f>
        <v>0.7626953125</v>
      </c>
      <c r="F7" s="7" t="s">
        <v>41</v>
      </c>
    </row>
    <row r="8" spans="1:6" x14ac:dyDescent="0.25">
      <c r="A8" s="8">
        <v>2</v>
      </c>
      <c r="B8" s="9">
        <f>_xlfn.BINOM.DIST(A8,$B$2,$B$3,FALSE)</f>
        <v>0.26367187499999994</v>
      </c>
      <c r="C8" s="9">
        <f>_xlfn.BINOM.DIST(A8,$B$2,$B$3,TRUE)</f>
        <v>0.896484375</v>
      </c>
      <c r="D8" s="9">
        <f>1-C8+B8</f>
        <v>0.36718749999999994</v>
      </c>
    </row>
    <row r="9" spans="1:6" x14ac:dyDescent="0.25">
      <c r="A9" s="8">
        <v>3</v>
      </c>
      <c r="B9" s="9">
        <f>_xlfn.BINOM.DIST(A9,$B$2,$B$3,FALSE)</f>
        <v>8.7890625000000042E-2</v>
      </c>
      <c r="C9" s="9">
        <f>_xlfn.BINOM.DIST(A9,$B$2,$B$3,TRUE)</f>
        <v>0.984375</v>
      </c>
      <c r="D9" s="9">
        <f>1-C9+B9</f>
        <v>0.10351562500000004</v>
      </c>
    </row>
    <row r="10" spans="1:6" x14ac:dyDescent="0.25">
      <c r="A10" s="8">
        <v>4</v>
      </c>
      <c r="B10" s="9">
        <f>_xlfn.BINOM.DIST(A10,$B$2,$B$3,FALSE)</f>
        <v>1.4648437500000005E-2</v>
      </c>
      <c r="C10" s="9">
        <f>_xlfn.BINOM.DIST(A10,$B$2,$B$3,TRUE)</f>
        <v>0.9990234375</v>
      </c>
      <c r="D10" s="9">
        <f>1-C10+B10</f>
        <v>1.5625000000000007E-2</v>
      </c>
    </row>
    <row r="11" spans="1:6" x14ac:dyDescent="0.25">
      <c r="A11" s="8">
        <v>5</v>
      </c>
      <c r="B11" s="9">
        <f>_xlfn.BINOM.DIST(A11,$B$2,$B$3,FALSE)</f>
        <v>9.765625E-4</v>
      </c>
      <c r="C11" s="9">
        <f>_xlfn.BINOM.DIST(A11,$B$2,$B$3,TRUE)</f>
        <v>1</v>
      </c>
      <c r="D11" s="9">
        <f>1-C11+B11</f>
        <v>9.765625E-4</v>
      </c>
    </row>
    <row r="13" spans="1:6" x14ac:dyDescent="0.25">
      <c r="A13" s="1" t="s">
        <v>33</v>
      </c>
      <c r="B13" s="9">
        <f>SUM(B6:B11)</f>
        <v>1</v>
      </c>
      <c r="F13" s="7" t="s">
        <v>42</v>
      </c>
    </row>
    <row r="14" spans="1:6" x14ac:dyDescent="0.25">
      <c r="A14" s="1" t="s">
        <v>34</v>
      </c>
      <c r="B14" s="10">
        <f>B2*B3</f>
        <v>1.25</v>
      </c>
    </row>
    <row r="15" spans="1:6" x14ac:dyDescent="0.25">
      <c r="A15" s="1" t="s">
        <v>35</v>
      </c>
      <c r="B15" s="6">
        <f>SQRT(B2*B3*(1-B3))</f>
        <v>0.96824583655185426</v>
      </c>
    </row>
    <row r="17" spans="1:6" x14ac:dyDescent="0.25">
      <c r="A17" s="1" t="s">
        <v>36</v>
      </c>
      <c r="B17" s="11">
        <f>FACT(5)</f>
        <v>120</v>
      </c>
    </row>
    <row r="18" spans="1:6" x14ac:dyDescent="0.25">
      <c r="A18" s="1" t="s">
        <v>37</v>
      </c>
      <c r="B18" s="11">
        <f>COMBIN(5,2)</f>
        <v>10</v>
      </c>
    </row>
    <row r="19" spans="1:6" x14ac:dyDescent="0.25">
      <c r="A19" s="1" t="s">
        <v>38</v>
      </c>
      <c r="B19" s="9">
        <f>B18*B3^2*(1-B3)^3</f>
        <v>0.263671875</v>
      </c>
      <c r="F19" s="7" t="s">
        <v>43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58EE-471F-41E9-855D-C57FBEE5A0AB}">
  <dimension ref="A1:E22"/>
  <sheetViews>
    <sheetView workbookViewId="0"/>
  </sheetViews>
  <sheetFormatPr defaultRowHeight="13.6" x14ac:dyDescent="0.25"/>
  <cols>
    <col min="1" max="1" width="46.625" style="1" customWidth="1"/>
    <col min="2" max="2" width="14.625" style="1" customWidth="1"/>
    <col min="3" max="3" width="3.625" style="1" customWidth="1"/>
    <col min="4" max="4" width="10.625" style="1" customWidth="1"/>
    <col min="5" max="5" width="14.625" style="1" customWidth="1"/>
    <col min="6" max="16384" width="9" style="1"/>
  </cols>
  <sheetData>
    <row r="1" spans="1:5" ht="34" customHeight="1" x14ac:dyDescent="0.25">
      <c r="A1" s="2" t="s">
        <v>44</v>
      </c>
      <c r="B1" s="2" t="s">
        <v>1</v>
      </c>
      <c r="D1" s="2" t="s">
        <v>45</v>
      </c>
      <c r="E1" s="2" t="s">
        <v>30</v>
      </c>
    </row>
    <row r="2" spans="1:5" x14ac:dyDescent="0.25">
      <c r="A2" s="1" t="s">
        <v>27</v>
      </c>
      <c r="B2" s="8">
        <v>20</v>
      </c>
      <c r="D2" s="8">
        <v>0</v>
      </c>
      <c r="E2" s="9">
        <f>_xlfn.BINOM.DIST(D2,$B$2,$B$3,FALSE)</f>
        <v>3.1712119389339963E-3</v>
      </c>
    </row>
    <row r="3" spans="1:5" x14ac:dyDescent="0.25">
      <c r="A3" s="1" t="s">
        <v>28</v>
      </c>
      <c r="B3" s="4">
        <v>0.25</v>
      </c>
      <c r="D3" s="8">
        <v>1</v>
      </c>
      <c r="E3" s="9">
        <f>_xlfn.BINOM.DIST(D3,$B$2,$B$3,FALSE)</f>
        <v>2.1141412926226615E-2</v>
      </c>
    </row>
    <row r="4" spans="1:5" x14ac:dyDescent="0.25">
      <c r="A4" s="1" t="s">
        <v>46</v>
      </c>
      <c r="B4" s="8">
        <v>5</v>
      </c>
      <c r="D4" s="8">
        <v>2</v>
      </c>
      <c r="E4" s="9">
        <f>_xlfn.BINOM.DIST(D4,$B$2,$B$3,FALSE)</f>
        <v>6.6947807599717662E-2</v>
      </c>
    </row>
    <row r="5" spans="1:5" x14ac:dyDescent="0.25">
      <c r="A5" s="1" t="s">
        <v>47</v>
      </c>
      <c r="B5" s="8">
        <v>10</v>
      </c>
      <c r="D5" s="8">
        <v>3</v>
      </c>
      <c r="E5" s="9">
        <f>_xlfn.BINOM.DIST(D5,$B$2,$B$3,FALSE)</f>
        <v>0.13389561519943524</v>
      </c>
    </row>
    <row r="6" spans="1:5" x14ac:dyDescent="0.25">
      <c r="D6" s="8">
        <v>4</v>
      </c>
      <c r="E6" s="9">
        <f>_xlfn.BINOM.DIST(D6,$B$2,$B$3,FALSE)</f>
        <v>0.18968545486586663</v>
      </c>
    </row>
    <row r="7" spans="1:5" x14ac:dyDescent="0.25">
      <c r="A7" s="1" t="s">
        <v>48</v>
      </c>
      <c r="B7" s="9">
        <f>_xlfn.BINOM.DIST(B4,B2,B3,FALSE)</f>
        <v>0.20233115185692441</v>
      </c>
      <c r="D7" s="8">
        <v>5</v>
      </c>
      <c r="E7" s="9">
        <f>_xlfn.BINOM.DIST(D7,$B$2,$B$3,FALSE)</f>
        <v>0.20233115185692441</v>
      </c>
    </row>
    <row r="8" spans="1:5" x14ac:dyDescent="0.25">
      <c r="A8" s="1" t="s">
        <v>49</v>
      </c>
      <c r="B8" s="9">
        <f>_xlfn.BINOM.DIST(B4,B2,B3,TRUE)</f>
        <v>0.61717265438710467</v>
      </c>
      <c r="D8" s="8">
        <v>6</v>
      </c>
      <c r="E8" s="9">
        <f>_xlfn.BINOM.DIST(D8,$B$2,$B$3,FALSE)</f>
        <v>0.1686092932141037</v>
      </c>
    </row>
    <row r="9" spans="1:5" x14ac:dyDescent="0.25">
      <c r="A9" s="1" t="s">
        <v>50</v>
      </c>
      <c r="B9" s="9">
        <f>1-_xlfn.BINOM.DIST(B5-1,B2,B3,TRUE)</f>
        <v>1.3864416943761171E-2</v>
      </c>
      <c r="D9" s="8">
        <v>7</v>
      </c>
      <c r="E9" s="9">
        <f>_xlfn.BINOM.DIST(D9,$B$2,$B$3,FALSE)</f>
        <v>0.11240619547606913</v>
      </c>
    </row>
    <row r="10" spans="1:5" x14ac:dyDescent="0.25">
      <c r="A10" s="1" t="s">
        <v>51</v>
      </c>
      <c r="B10" s="9">
        <f>_xlfn.BINOM.DIST.RANGE(B2,B3,B5,B2)</f>
        <v>1.3864416943761178E-2</v>
      </c>
      <c r="D10" s="8">
        <v>8</v>
      </c>
      <c r="E10" s="9">
        <f>_xlfn.BINOM.DIST(D10,$B$2,$B$3,FALSE)</f>
        <v>6.0886689216204062E-2</v>
      </c>
    </row>
    <row r="11" spans="1:5" x14ac:dyDescent="0.25">
      <c r="A11" s="1" t="s">
        <v>34</v>
      </c>
      <c r="B11" s="10">
        <f>B2*B3</f>
        <v>5</v>
      </c>
      <c r="D11" s="8">
        <v>9</v>
      </c>
      <c r="E11" s="9">
        <f>_xlfn.BINOM.DIST(D11,$B$2,$B$3,FALSE)</f>
        <v>2.7060750762757369E-2</v>
      </c>
    </row>
    <row r="12" spans="1:5" x14ac:dyDescent="0.25">
      <c r="A12" s="1" t="s">
        <v>35</v>
      </c>
      <c r="B12" s="6">
        <f>SQRT(B2*B3*(1-B3))</f>
        <v>1.9364916731037085</v>
      </c>
      <c r="D12" s="8">
        <v>10</v>
      </c>
      <c r="E12" s="9">
        <f>_xlfn.BINOM.DIST(D12,$B$2,$B$3,FALSE)</f>
        <v>9.9222752796777041E-3</v>
      </c>
    </row>
    <row r="13" spans="1:5" x14ac:dyDescent="0.25">
      <c r="A13" s="1" t="s">
        <v>52</v>
      </c>
      <c r="B13" s="11">
        <f>_xlfn.BINOM.INV(B2,B3,0.95)</f>
        <v>8</v>
      </c>
      <c r="D13" s="8">
        <v>11</v>
      </c>
      <c r="E13" s="9">
        <f>_xlfn.BINOM.DIST(D13,$B$2,$B$3,FALSE)</f>
        <v>3.0067500847508173E-3</v>
      </c>
    </row>
    <row r="14" spans="1:5" x14ac:dyDescent="0.25">
      <c r="D14" s="8">
        <v>12</v>
      </c>
      <c r="E14" s="9">
        <f>_xlfn.BINOM.DIST(D14,$B$2,$B$3,FALSE)</f>
        <v>7.5168752118770586E-4</v>
      </c>
    </row>
    <row r="15" spans="1:5" x14ac:dyDescent="0.25">
      <c r="D15" s="8">
        <v>13</v>
      </c>
      <c r="E15" s="9">
        <f>_xlfn.BINOM.DIST(D15,$B$2,$B$3,FALSE)</f>
        <v>1.541923120385034E-4</v>
      </c>
    </row>
    <row r="16" spans="1:5" x14ac:dyDescent="0.25">
      <c r="A16" s="7" t="s">
        <v>20</v>
      </c>
      <c r="D16" s="8">
        <v>14</v>
      </c>
      <c r="E16" s="9">
        <f>_xlfn.BINOM.DIST(D16,$B$2,$B$3,FALSE)</f>
        <v>2.5698718673083962E-5</v>
      </c>
    </row>
    <row r="17" spans="1:5" x14ac:dyDescent="0.25">
      <c r="A17" s="7" t="s">
        <v>53</v>
      </c>
      <c r="D17" s="8">
        <v>15</v>
      </c>
      <c r="E17" s="9">
        <f>_xlfn.BINOM.DIST(D17,$B$2,$B$3,FALSE)</f>
        <v>3.42649582307786E-6</v>
      </c>
    </row>
    <row r="18" spans="1:5" x14ac:dyDescent="0.25">
      <c r="D18" s="8">
        <v>16</v>
      </c>
      <c r="E18" s="9">
        <f>_xlfn.BINOM.DIST(D18,$B$2,$B$3,FALSE)</f>
        <v>3.5692664823727645E-7</v>
      </c>
    </row>
    <row r="19" spans="1:5" x14ac:dyDescent="0.25">
      <c r="A19" s="7" t="s">
        <v>54</v>
      </c>
      <c r="D19" s="8">
        <v>17</v>
      </c>
      <c r="E19" s="9">
        <f>_xlfn.BINOM.DIST(D19,$B$2,$B$3,FALSE)</f>
        <v>2.7994246920570738E-8</v>
      </c>
    </row>
    <row r="20" spans="1:5" x14ac:dyDescent="0.25">
      <c r="D20" s="8">
        <v>18</v>
      </c>
      <c r="E20" s="9">
        <f>_xlfn.BINOM.DIST(D20,$B$2,$B$3,FALSE)</f>
        <v>1.5552359400317114E-9</v>
      </c>
    </row>
    <row r="21" spans="1:5" x14ac:dyDescent="0.25">
      <c r="D21" s="8">
        <v>19</v>
      </c>
      <c r="E21" s="9">
        <f>_xlfn.BINOM.DIST(D21,$B$2,$B$3,FALSE)</f>
        <v>5.4569682106375856E-11</v>
      </c>
    </row>
    <row r="22" spans="1:5" x14ac:dyDescent="0.25">
      <c r="D22" s="8">
        <v>20</v>
      </c>
      <c r="E22" s="9">
        <f>_xlfn.BINOM.DIST(D22,$B$2,$B$3,FALSE)</f>
        <v>9.0949470177292824E-13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1AF3-D2BC-4585-948D-B13F188B4324}">
  <dimension ref="A1:D16"/>
  <sheetViews>
    <sheetView workbookViewId="0"/>
  </sheetViews>
  <sheetFormatPr defaultRowHeight="13.6" x14ac:dyDescent="0.25"/>
  <cols>
    <col min="1" max="1" width="46.625" style="1" customWidth="1"/>
    <col min="2" max="2" width="14.625" style="1" customWidth="1"/>
    <col min="3" max="3" width="3.625" style="1" customWidth="1"/>
    <col min="4" max="4" width="56.625" style="1" customWidth="1"/>
    <col min="5" max="16384" width="9" style="1"/>
  </cols>
  <sheetData>
    <row r="1" spans="1:4" ht="34" customHeight="1" x14ac:dyDescent="0.25">
      <c r="A1" s="2" t="s">
        <v>55</v>
      </c>
      <c r="B1" s="2" t="s">
        <v>1</v>
      </c>
    </row>
    <row r="2" spans="1:4" x14ac:dyDescent="0.25">
      <c r="A2" s="1" t="s">
        <v>27</v>
      </c>
      <c r="B2" s="8">
        <v>200</v>
      </c>
      <c r="D2" s="7" t="s">
        <v>66</v>
      </c>
    </row>
    <row r="3" spans="1:4" x14ac:dyDescent="0.25">
      <c r="A3" s="1" t="s">
        <v>28</v>
      </c>
      <c r="B3" s="4">
        <v>0.6</v>
      </c>
    </row>
    <row r="4" spans="1:4" x14ac:dyDescent="0.25">
      <c r="A4" s="1" t="s">
        <v>56</v>
      </c>
      <c r="B4" s="8">
        <v>135</v>
      </c>
      <c r="D4" s="7" t="s">
        <v>20</v>
      </c>
    </row>
    <row r="6" spans="1:4" x14ac:dyDescent="0.25">
      <c r="A6" s="1" t="s">
        <v>57</v>
      </c>
      <c r="B6" s="10">
        <f>B2*B3</f>
        <v>120</v>
      </c>
      <c r="D6" s="7" t="s">
        <v>67</v>
      </c>
    </row>
    <row r="7" spans="1:4" x14ac:dyDescent="0.25">
      <c r="A7" s="1" t="s">
        <v>58</v>
      </c>
      <c r="B7" s="10">
        <f>B2*(1-B3)</f>
        <v>80</v>
      </c>
    </row>
    <row r="8" spans="1:4" x14ac:dyDescent="0.25">
      <c r="A8" s="1" t="s">
        <v>35</v>
      </c>
      <c r="B8" s="6">
        <f>SQRT(B2*B3*(1-B3))</f>
        <v>6.9282032302755088</v>
      </c>
    </row>
    <row r="9" spans="1:4" x14ac:dyDescent="0.25">
      <c r="A9" s="1" t="s">
        <v>59</v>
      </c>
      <c r="B9" s="6">
        <f>(B4-B6)/B8</f>
        <v>2.1650635094610968</v>
      </c>
    </row>
    <row r="10" spans="1:4" x14ac:dyDescent="0.25">
      <c r="A10" s="1" t="s">
        <v>60</v>
      </c>
      <c r="B10" s="9">
        <f>1-_xlfn.NORM.S.DIST(B9,TRUE)</f>
        <v>1.51914109882888E-2</v>
      </c>
      <c r="D10" s="7" t="s">
        <v>68</v>
      </c>
    </row>
    <row r="11" spans="1:4" x14ac:dyDescent="0.25">
      <c r="A11" s="1" t="s">
        <v>61</v>
      </c>
      <c r="B11" s="9">
        <f>1-_xlfn.BINOM.DIST(B4-1,B2,B3,TRUE)</f>
        <v>1.7307341051347791E-2</v>
      </c>
      <c r="D11" s="7" t="s">
        <v>69</v>
      </c>
    </row>
    <row r="12" spans="1:4" x14ac:dyDescent="0.25">
      <c r="A12" s="1" t="s">
        <v>62</v>
      </c>
      <c r="B12" s="9">
        <f>1-_xlfn.NORM.DIST(B4-0.5,B6,B8,TRUE)</f>
        <v>1.8179276586395288E-2</v>
      </c>
    </row>
    <row r="14" spans="1:4" x14ac:dyDescent="0.25">
      <c r="A14" s="1" t="s">
        <v>63</v>
      </c>
      <c r="B14" s="6">
        <f>B4/B2</f>
        <v>0.67500000000000004</v>
      </c>
    </row>
    <row r="15" spans="1:4" x14ac:dyDescent="0.25">
      <c r="A15" s="1" t="s">
        <v>64</v>
      </c>
      <c r="B15" s="12">
        <f>SQRT(B3*(1-B3)/B2)</f>
        <v>3.4641016151377546E-2</v>
      </c>
    </row>
    <row r="16" spans="1:4" x14ac:dyDescent="0.25">
      <c r="A16" s="1" t="s">
        <v>65</v>
      </c>
      <c r="B16" s="6">
        <f>(B14-B3)/B15</f>
        <v>2.1650635094610986</v>
      </c>
      <c r="D16" s="7" t="s">
        <v>70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2E77-B09C-4530-AC7A-B3B3AF48A2BD}">
  <dimension ref="A1:D7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2" width="22.625" customWidth="1"/>
    <col min="4" max="4" width="60.625" customWidth="1"/>
  </cols>
  <sheetData>
    <row r="1" spans="1:4" ht="46.05" customHeight="1" x14ac:dyDescent="0.25">
      <c r="A1" s="2" t="s">
        <v>71</v>
      </c>
      <c r="B1" s="2" t="s">
        <v>75</v>
      </c>
      <c r="D1" s="14" t="s">
        <v>76</v>
      </c>
    </row>
    <row r="2" spans="1:4" ht="25" customHeight="1" x14ac:dyDescent="0.25">
      <c r="A2" s="13" t="s">
        <v>72</v>
      </c>
      <c r="B2" s="13">
        <v>40</v>
      </c>
      <c r="D2" s="15" t="s">
        <v>77</v>
      </c>
    </row>
    <row r="3" spans="1:4" ht="25" customHeight="1" x14ac:dyDescent="0.25">
      <c r="A3" s="13" t="s">
        <v>73</v>
      </c>
      <c r="B3" s="13">
        <v>35</v>
      </c>
      <c r="D3" s="15"/>
    </row>
    <row r="4" spans="1:4" ht="25" customHeight="1" x14ac:dyDescent="0.25">
      <c r="A4" s="13" t="s">
        <v>74</v>
      </c>
      <c r="B4" s="13">
        <v>25</v>
      </c>
      <c r="D4" s="15" t="s">
        <v>78</v>
      </c>
    </row>
    <row r="5" spans="1:4" x14ac:dyDescent="0.25">
      <c r="D5" s="15"/>
    </row>
    <row r="6" spans="1:4" x14ac:dyDescent="0.25">
      <c r="D6" s="15"/>
    </row>
    <row r="7" spans="1:4" x14ac:dyDescent="0.25">
      <c r="D7" s="15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041B-942F-4EF5-935C-4C293BDAD3FB}">
  <dimension ref="A1:E7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3" width="22.625" customWidth="1"/>
    <col min="5" max="5" width="60.625" customWidth="1"/>
  </cols>
  <sheetData>
    <row r="1" spans="1:5" ht="46.05" customHeight="1" x14ac:dyDescent="0.25">
      <c r="A1" s="2" t="s">
        <v>79</v>
      </c>
      <c r="B1" s="2" t="s">
        <v>82</v>
      </c>
      <c r="C1" s="2" t="s">
        <v>83</v>
      </c>
      <c r="E1" s="14" t="s">
        <v>76</v>
      </c>
    </row>
    <row r="2" spans="1:5" ht="25" customHeight="1" x14ac:dyDescent="0.25">
      <c r="A2" s="13" t="s">
        <v>80</v>
      </c>
      <c r="B2" s="13">
        <v>40</v>
      </c>
      <c r="C2" s="13">
        <v>60</v>
      </c>
      <c r="E2" s="15" t="s">
        <v>84</v>
      </c>
    </row>
    <row r="3" spans="1:5" ht="25" customHeight="1" x14ac:dyDescent="0.25">
      <c r="A3" s="13" t="s">
        <v>81</v>
      </c>
      <c r="B3" s="13">
        <v>30</v>
      </c>
      <c r="C3" s="13">
        <v>70</v>
      </c>
      <c r="E3" s="15"/>
    </row>
    <row r="4" spans="1:5" x14ac:dyDescent="0.25">
      <c r="E4" s="15" t="s">
        <v>85</v>
      </c>
    </row>
    <row r="5" spans="1:5" x14ac:dyDescent="0.25">
      <c r="E5" s="15"/>
    </row>
    <row r="6" spans="1:5" x14ac:dyDescent="0.25">
      <c r="E6" s="15"/>
    </row>
    <row r="7" spans="1:5" x14ac:dyDescent="0.25">
      <c r="E7" s="15"/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D9FB-CF10-4923-AD47-75DE0B24E652}">
  <dimension ref="A1:E7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3" width="22.625" customWidth="1"/>
    <col min="5" max="5" width="60.625" customWidth="1"/>
  </cols>
  <sheetData>
    <row r="1" spans="1:5" ht="46.05" customHeight="1" x14ac:dyDescent="0.25">
      <c r="A1" s="2" t="s">
        <v>79</v>
      </c>
      <c r="B1" s="2" t="s">
        <v>82</v>
      </c>
      <c r="C1" s="2" t="s">
        <v>83</v>
      </c>
      <c r="E1" s="14" t="s">
        <v>76</v>
      </c>
    </row>
    <row r="2" spans="1:5" ht="25" customHeight="1" x14ac:dyDescent="0.25">
      <c r="A2" s="13" t="s">
        <v>80</v>
      </c>
      <c r="B2" s="13">
        <v>30</v>
      </c>
      <c r="C2" s="13">
        <v>70</v>
      </c>
      <c r="E2" s="15" t="s">
        <v>86</v>
      </c>
    </row>
    <row r="3" spans="1:5" ht="25" customHeight="1" x14ac:dyDescent="0.25">
      <c r="A3" s="13" t="s">
        <v>81</v>
      </c>
      <c r="B3" s="13">
        <v>30</v>
      </c>
      <c r="C3" s="13">
        <v>70</v>
      </c>
      <c r="E3" s="15"/>
    </row>
    <row r="4" spans="1:5" x14ac:dyDescent="0.25">
      <c r="E4" s="15" t="s">
        <v>87</v>
      </c>
    </row>
    <row r="5" spans="1:5" x14ac:dyDescent="0.25">
      <c r="E5" s="15"/>
    </row>
    <row r="6" spans="1:5" x14ac:dyDescent="0.25">
      <c r="E6" s="15"/>
    </row>
    <row r="7" spans="1:5" x14ac:dyDescent="0.25">
      <c r="E7" s="15"/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A3AF-430D-45C4-888E-27C7A3FD99CD}">
  <dimension ref="A1:D7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1" width="36.625" customWidth="1"/>
    <col min="2" max="2" width="22.625" customWidth="1"/>
    <col min="4" max="4" width="60.625" customWidth="1"/>
  </cols>
  <sheetData>
    <row r="1" spans="1:4" ht="46.05" customHeight="1" x14ac:dyDescent="0.25">
      <c r="A1" s="2" t="s">
        <v>88</v>
      </c>
      <c r="B1" s="2" t="s">
        <v>1</v>
      </c>
      <c r="D1" s="14" t="s">
        <v>76</v>
      </c>
    </row>
    <row r="2" spans="1:4" ht="25" customHeight="1" x14ac:dyDescent="0.25">
      <c r="A2" s="13" t="s">
        <v>2</v>
      </c>
      <c r="B2" s="13">
        <v>1000</v>
      </c>
      <c r="D2" s="15" t="s">
        <v>92</v>
      </c>
    </row>
    <row r="3" spans="1:4" ht="25" customHeight="1" x14ac:dyDescent="0.25">
      <c r="A3" s="13" t="s">
        <v>89</v>
      </c>
      <c r="B3" s="13">
        <v>0.1</v>
      </c>
      <c r="D3" s="15"/>
    </row>
    <row r="4" spans="1:4" ht="25" customHeight="1" x14ac:dyDescent="0.25">
      <c r="A4" s="13" t="s">
        <v>4</v>
      </c>
      <c r="B4" s="13">
        <v>0.95</v>
      </c>
      <c r="D4" s="15" t="s">
        <v>93</v>
      </c>
    </row>
    <row r="5" spans="1:4" ht="25" customHeight="1" x14ac:dyDescent="0.25">
      <c r="A5" s="13" t="s">
        <v>5</v>
      </c>
      <c r="B5" s="13">
        <v>0.9</v>
      </c>
      <c r="D5" s="15"/>
    </row>
    <row r="6" spans="1:4" ht="25" customHeight="1" x14ac:dyDescent="0.25">
      <c r="A6" s="13" t="s">
        <v>90</v>
      </c>
      <c r="B6" s="13">
        <v>0.01</v>
      </c>
      <c r="D6" s="15"/>
    </row>
    <row r="7" spans="1:4" ht="25" customHeight="1" x14ac:dyDescent="0.25">
      <c r="A7" s="13" t="s">
        <v>91</v>
      </c>
      <c r="B7" s="13">
        <v>10000</v>
      </c>
      <c r="D7" s="15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966A-DC9E-4224-8E0D-C4F8DB62CD84}">
  <dimension ref="A1:D7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1" width="32.625" customWidth="1"/>
    <col min="2" max="2" width="22.625" customWidth="1"/>
    <col min="4" max="4" width="60.625" customWidth="1"/>
  </cols>
  <sheetData>
    <row r="1" spans="1:4" ht="46.05" customHeight="1" x14ac:dyDescent="0.25">
      <c r="A1" s="2" t="s">
        <v>88</v>
      </c>
      <c r="B1" s="2" t="s">
        <v>1</v>
      </c>
      <c r="D1" s="14" t="s">
        <v>76</v>
      </c>
    </row>
    <row r="2" spans="1:4" ht="25" customHeight="1" x14ac:dyDescent="0.25">
      <c r="A2" s="13" t="s">
        <v>94</v>
      </c>
      <c r="B2" s="13">
        <v>5</v>
      </c>
      <c r="D2" s="15" t="s">
        <v>98</v>
      </c>
    </row>
    <row r="3" spans="1:4" ht="25" customHeight="1" x14ac:dyDescent="0.25">
      <c r="A3" s="13" t="s">
        <v>95</v>
      </c>
      <c r="B3" s="13">
        <v>4</v>
      </c>
      <c r="D3" s="15"/>
    </row>
    <row r="4" spans="1:4" ht="25" customHeight="1" x14ac:dyDescent="0.25">
      <c r="A4" s="13" t="s">
        <v>96</v>
      </c>
      <c r="B4" s="13">
        <v>0.25</v>
      </c>
      <c r="D4" s="15" t="s">
        <v>99</v>
      </c>
    </row>
    <row r="5" spans="1:4" ht="25" customHeight="1" x14ac:dyDescent="0.25">
      <c r="A5" s="13" t="s">
        <v>97</v>
      </c>
      <c r="B5" s="13">
        <v>20</v>
      </c>
      <c r="D5" s="15"/>
    </row>
    <row r="6" spans="1:4" ht="25" customHeight="1" x14ac:dyDescent="0.25">
      <c r="A6" s="13" t="s">
        <v>46</v>
      </c>
      <c r="B6" s="13">
        <v>5</v>
      </c>
      <c r="D6" s="15"/>
    </row>
    <row r="7" spans="1:4" ht="25" customHeight="1" x14ac:dyDescent="0.25">
      <c r="A7" s="13" t="s">
        <v>47</v>
      </c>
      <c r="B7" s="13">
        <v>10</v>
      </c>
      <c r="D7" s="15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1429-9CF2-49DB-899B-58B549D88B2A}">
  <dimension ref="A1:C41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2" t="s">
        <v>100</v>
      </c>
      <c r="C1" s="14" t="s">
        <v>76</v>
      </c>
    </row>
    <row r="2" spans="1:3" ht="25" customHeight="1" x14ac:dyDescent="0.25">
      <c r="A2" s="13">
        <v>2</v>
      </c>
      <c r="C2" s="15" t="s">
        <v>101</v>
      </c>
    </row>
    <row r="3" spans="1:3" ht="25" customHeight="1" x14ac:dyDescent="0.25">
      <c r="A3" s="13">
        <v>1</v>
      </c>
      <c r="C3" s="15"/>
    </row>
    <row r="4" spans="1:3" ht="25" customHeight="1" x14ac:dyDescent="0.25">
      <c r="A4" s="13">
        <v>2</v>
      </c>
      <c r="C4" s="15" t="s">
        <v>102</v>
      </c>
    </row>
    <row r="5" spans="1:3" ht="25" customHeight="1" x14ac:dyDescent="0.25">
      <c r="A5" s="13">
        <v>3</v>
      </c>
      <c r="C5" s="15"/>
    </row>
    <row r="6" spans="1:3" ht="25" customHeight="1" x14ac:dyDescent="0.25">
      <c r="A6" s="13">
        <v>1</v>
      </c>
      <c r="C6" s="15"/>
    </row>
    <row r="7" spans="1:3" ht="25" customHeight="1" x14ac:dyDescent="0.25">
      <c r="A7" s="13">
        <v>0</v>
      </c>
      <c r="C7" s="15"/>
    </row>
    <row r="8" spans="1:3" ht="25" customHeight="1" x14ac:dyDescent="0.25">
      <c r="A8" s="13">
        <v>2</v>
      </c>
    </row>
    <row r="9" spans="1:3" ht="25" customHeight="1" x14ac:dyDescent="0.25">
      <c r="A9" s="13">
        <v>2</v>
      </c>
    </row>
    <row r="10" spans="1:3" ht="25" customHeight="1" x14ac:dyDescent="0.25">
      <c r="A10" s="13">
        <v>1</v>
      </c>
    </row>
    <row r="11" spans="1:3" ht="25" customHeight="1" x14ac:dyDescent="0.25">
      <c r="A11" s="13">
        <v>2</v>
      </c>
    </row>
    <row r="12" spans="1:3" ht="25" customHeight="1" x14ac:dyDescent="0.25">
      <c r="A12" s="13">
        <v>1</v>
      </c>
    </row>
    <row r="13" spans="1:3" ht="25" customHeight="1" x14ac:dyDescent="0.25">
      <c r="A13" s="13">
        <v>0</v>
      </c>
    </row>
    <row r="14" spans="1:3" ht="25" customHeight="1" x14ac:dyDescent="0.25">
      <c r="A14" s="13">
        <v>0</v>
      </c>
    </row>
    <row r="15" spans="1:3" ht="25" customHeight="1" x14ac:dyDescent="0.25">
      <c r="A15" s="13">
        <v>1</v>
      </c>
    </row>
    <row r="16" spans="1:3" ht="25" customHeight="1" x14ac:dyDescent="0.25">
      <c r="A16" s="13">
        <v>2</v>
      </c>
    </row>
    <row r="17" spans="1:1" ht="25" customHeight="1" x14ac:dyDescent="0.25">
      <c r="A17" s="13">
        <v>0</v>
      </c>
    </row>
    <row r="18" spans="1:1" ht="25" customHeight="1" x14ac:dyDescent="0.25">
      <c r="A18" s="13">
        <v>0</v>
      </c>
    </row>
    <row r="19" spans="1:1" ht="25" customHeight="1" x14ac:dyDescent="0.25">
      <c r="A19" s="13">
        <v>1</v>
      </c>
    </row>
    <row r="20" spans="1:1" ht="25" customHeight="1" x14ac:dyDescent="0.25">
      <c r="A20" s="13">
        <v>1</v>
      </c>
    </row>
    <row r="21" spans="1:1" ht="25" customHeight="1" x14ac:dyDescent="0.25">
      <c r="A21" s="13">
        <v>0</v>
      </c>
    </row>
    <row r="22" spans="1:1" ht="25" customHeight="1" x14ac:dyDescent="0.25">
      <c r="A22" s="13">
        <v>0</v>
      </c>
    </row>
    <row r="23" spans="1:1" ht="25" customHeight="1" x14ac:dyDescent="0.25">
      <c r="A23" s="13">
        <v>3</v>
      </c>
    </row>
    <row r="24" spans="1:1" ht="25" customHeight="1" x14ac:dyDescent="0.25">
      <c r="A24" s="13">
        <v>1</v>
      </c>
    </row>
    <row r="25" spans="1:1" ht="25" customHeight="1" x14ac:dyDescent="0.25">
      <c r="A25" s="13">
        <v>1</v>
      </c>
    </row>
    <row r="26" spans="1:1" ht="25" customHeight="1" x14ac:dyDescent="0.25">
      <c r="A26" s="13">
        <v>1</v>
      </c>
    </row>
    <row r="27" spans="1:1" ht="25" customHeight="1" x14ac:dyDescent="0.25">
      <c r="A27" s="13">
        <v>0</v>
      </c>
    </row>
    <row r="28" spans="1:1" ht="25" customHeight="1" x14ac:dyDescent="0.25">
      <c r="A28" s="13">
        <v>0</v>
      </c>
    </row>
    <row r="29" spans="1:1" ht="25" customHeight="1" x14ac:dyDescent="0.25">
      <c r="A29" s="13">
        <v>2</v>
      </c>
    </row>
    <row r="30" spans="1:1" ht="25" customHeight="1" x14ac:dyDescent="0.25">
      <c r="A30" s="13">
        <v>1</v>
      </c>
    </row>
    <row r="31" spans="1:1" ht="25" customHeight="1" x14ac:dyDescent="0.25">
      <c r="A31" s="13">
        <v>1</v>
      </c>
    </row>
    <row r="32" spans="1:1" ht="25" customHeight="1" x14ac:dyDescent="0.25">
      <c r="A32" s="13">
        <v>0</v>
      </c>
    </row>
    <row r="33" spans="1:1" ht="25" customHeight="1" x14ac:dyDescent="0.25">
      <c r="A33" s="13">
        <v>2</v>
      </c>
    </row>
    <row r="34" spans="1:1" ht="25" customHeight="1" x14ac:dyDescent="0.25">
      <c r="A34" s="13">
        <v>0</v>
      </c>
    </row>
    <row r="35" spans="1:1" ht="25" customHeight="1" x14ac:dyDescent="0.25">
      <c r="A35" s="13">
        <v>0</v>
      </c>
    </row>
    <row r="36" spans="1:1" ht="25" customHeight="1" x14ac:dyDescent="0.25">
      <c r="A36" s="13">
        <v>1</v>
      </c>
    </row>
    <row r="37" spans="1:1" ht="25" customHeight="1" x14ac:dyDescent="0.25">
      <c r="A37" s="13">
        <v>1</v>
      </c>
    </row>
    <row r="38" spans="1:1" ht="25" customHeight="1" x14ac:dyDescent="0.25">
      <c r="A38" s="13">
        <v>2</v>
      </c>
    </row>
    <row r="39" spans="1:1" ht="25" customHeight="1" x14ac:dyDescent="0.25">
      <c r="A39" s="13">
        <v>2</v>
      </c>
    </row>
    <row r="40" spans="1:1" ht="25" customHeight="1" x14ac:dyDescent="0.25">
      <c r="A40" s="13">
        <v>1</v>
      </c>
    </row>
    <row r="41" spans="1:1" ht="25" customHeight="1" x14ac:dyDescent="0.25">
      <c r="A41" s="13">
        <v>0</v>
      </c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6A05-4757-449F-92C5-3840908DD25E}">
  <dimension ref="A1:D7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1" width="34.625" customWidth="1"/>
    <col min="2" max="2" width="22.625" customWidth="1"/>
    <col min="4" max="4" width="60.625" customWidth="1"/>
  </cols>
  <sheetData>
    <row r="1" spans="1:4" ht="46.05" customHeight="1" x14ac:dyDescent="0.25">
      <c r="A1" s="2" t="s">
        <v>88</v>
      </c>
      <c r="B1" s="2" t="s">
        <v>1</v>
      </c>
      <c r="D1" s="14" t="s">
        <v>76</v>
      </c>
    </row>
    <row r="2" spans="1:4" ht="25" customHeight="1" x14ac:dyDescent="0.25">
      <c r="A2" s="13" t="s">
        <v>103</v>
      </c>
      <c r="B2" s="13">
        <v>200</v>
      </c>
      <c r="D2" s="15" t="s">
        <v>106</v>
      </c>
    </row>
    <row r="3" spans="1:4" ht="25" customHeight="1" x14ac:dyDescent="0.25">
      <c r="A3" s="13" t="s">
        <v>104</v>
      </c>
      <c r="B3" s="13">
        <v>0.6</v>
      </c>
      <c r="D3" s="15"/>
    </row>
    <row r="4" spans="1:4" ht="25" customHeight="1" x14ac:dyDescent="0.25">
      <c r="A4" s="13" t="s">
        <v>105</v>
      </c>
      <c r="B4" s="13">
        <v>135</v>
      </c>
      <c r="D4" s="15" t="s">
        <v>107</v>
      </c>
    </row>
    <row r="5" spans="1:4" x14ac:dyDescent="0.25">
      <c r="D5" s="15"/>
    </row>
    <row r="6" spans="1:4" x14ac:dyDescent="0.25">
      <c r="D6" s="15"/>
    </row>
    <row r="7" spans="1:4" x14ac:dyDescent="0.25">
      <c r="D7" s="15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456F1-C8F8-4D4E-8014-33CA30D59399}">
  <dimension ref="A1:D7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2" width="22.625" customWidth="1"/>
    <col min="4" max="4" width="60.625" customWidth="1"/>
  </cols>
  <sheetData>
    <row r="1" spans="1:4" ht="46.05" customHeight="1" x14ac:dyDescent="0.25">
      <c r="A1" s="2" t="s">
        <v>88</v>
      </c>
      <c r="B1" s="2" t="s">
        <v>1</v>
      </c>
      <c r="D1" s="14" t="s">
        <v>76</v>
      </c>
    </row>
    <row r="2" spans="1:4" ht="25" customHeight="1" x14ac:dyDescent="0.25">
      <c r="A2" s="13" t="s">
        <v>108</v>
      </c>
      <c r="B2" s="13">
        <v>100</v>
      </c>
      <c r="D2" s="15" t="s">
        <v>110</v>
      </c>
    </row>
    <row r="3" spans="1:4" ht="25" customHeight="1" x14ac:dyDescent="0.25">
      <c r="A3" s="13" t="s">
        <v>109</v>
      </c>
      <c r="B3" s="13">
        <v>3</v>
      </c>
      <c r="D3" s="15"/>
    </row>
    <row r="4" spans="1:4" x14ac:dyDescent="0.25">
      <c r="D4" s="15" t="s">
        <v>111</v>
      </c>
    </row>
    <row r="5" spans="1:4" x14ac:dyDescent="0.25">
      <c r="D5" s="15"/>
    </row>
    <row r="6" spans="1:4" x14ac:dyDescent="0.25">
      <c r="D6" s="15"/>
    </row>
    <row r="7" spans="1:4" x14ac:dyDescent="0.25">
      <c r="D7" s="15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68EB-F627-493E-BE1B-1B1F6DE6CF06}">
  <dimension ref="A1:D7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2" width="22.625" customWidth="1"/>
    <col min="4" max="4" width="60.625" customWidth="1"/>
  </cols>
  <sheetData>
    <row r="1" spans="1:4" ht="46.05" customHeight="1" x14ac:dyDescent="0.25">
      <c r="A1" s="2" t="s">
        <v>112</v>
      </c>
      <c r="B1" s="2" t="s">
        <v>117</v>
      </c>
      <c r="D1" s="14" t="s">
        <v>76</v>
      </c>
    </row>
    <row r="2" spans="1:4" ht="25" customHeight="1" x14ac:dyDescent="0.25">
      <c r="A2" s="13" t="s">
        <v>113</v>
      </c>
      <c r="B2" s="13">
        <v>24</v>
      </c>
      <c r="D2" s="15" t="s">
        <v>118</v>
      </c>
    </row>
    <row r="3" spans="1:4" ht="25" customHeight="1" x14ac:dyDescent="0.25">
      <c r="A3" s="13" t="s">
        <v>114</v>
      </c>
      <c r="B3" s="13">
        <v>18</v>
      </c>
      <c r="D3" s="15"/>
    </row>
    <row r="4" spans="1:4" ht="25" customHeight="1" x14ac:dyDescent="0.25">
      <c r="A4" s="13" t="s">
        <v>115</v>
      </c>
      <c r="B4" s="13">
        <v>12</v>
      </c>
      <c r="D4" s="15" t="s">
        <v>119</v>
      </c>
    </row>
    <row r="5" spans="1:4" ht="25" customHeight="1" x14ac:dyDescent="0.25">
      <c r="A5" s="13" t="s">
        <v>116</v>
      </c>
      <c r="B5" s="13">
        <v>6</v>
      </c>
      <c r="D5" s="15"/>
    </row>
    <row r="6" spans="1:4" x14ac:dyDescent="0.25">
      <c r="D6" s="15"/>
    </row>
    <row r="7" spans="1:4" x14ac:dyDescent="0.25">
      <c r="D7" s="15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A20C-D1B0-4626-B163-CB7F92A83BF3}">
  <dimension ref="A1:E7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3" width="22.625" customWidth="1"/>
    <col min="5" max="5" width="60.625" customWidth="1"/>
  </cols>
  <sheetData>
    <row r="1" spans="1:5" ht="46.05" customHeight="1" x14ac:dyDescent="0.25">
      <c r="A1" s="2" t="s">
        <v>120</v>
      </c>
      <c r="B1" s="2" t="s">
        <v>123</v>
      </c>
      <c r="C1" s="2" t="s">
        <v>124</v>
      </c>
      <c r="E1" s="14" t="s">
        <v>76</v>
      </c>
    </row>
    <row r="2" spans="1:5" ht="25" customHeight="1" x14ac:dyDescent="0.25">
      <c r="A2" s="13" t="s">
        <v>121</v>
      </c>
      <c r="B2" s="13">
        <v>54</v>
      </c>
      <c r="C2" s="13">
        <v>26</v>
      </c>
      <c r="E2" s="15" t="s">
        <v>125</v>
      </c>
    </row>
    <row r="3" spans="1:5" ht="25" customHeight="1" x14ac:dyDescent="0.25">
      <c r="A3" s="13" t="s">
        <v>122</v>
      </c>
      <c r="B3" s="13">
        <v>27</v>
      </c>
      <c r="C3" s="13">
        <v>43</v>
      </c>
      <c r="E3" s="15"/>
    </row>
    <row r="4" spans="1:5" x14ac:dyDescent="0.25">
      <c r="E4" s="15" t="s">
        <v>126</v>
      </c>
    </row>
    <row r="5" spans="1:5" x14ac:dyDescent="0.25">
      <c r="E5" s="15"/>
    </row>
    <row r="6" spans="1:5" x14ac:dyDescent="0.25">
      <c r="E6" s="15"/>
    </row>
    <row r="7" spans="1:5" x14ac:dyDescent="0.25">
      <c r="E7" s="15"/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21B6-C8ED-40CE-BE13-4042EE00BFAF}">
  <dimension ref="A1:D7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1" width="28.625" customWidth="1"/>
    <col min="2" max="2" width="22.625" customWidth="1"/>
    <col min="4" max="4" width="60.625" customWidth="1"/>
  </cols>
  <sheetData>
    <row r="1" spans="1:4" ht="46.05" customHeight="1" x14ac:dyDescent="0.25">
      <c r="A1" s="2" t="s">
        <v>88</v>
      </c>
      <c r="B1" s="2" t="s">
        <v>1</v>
      </c>
      <c r="D1" s="14" t="s">
        <v>76</v>
      </c>
    </row>
    <row r="2" spans="1:4" ht="25" customHeight="1" x14ac:dyDescent="0.25">
      <c r="A2" s="13" t="s">
        <v>95</v>
      </c>
      <c r="B2" s="13">
        <v>4</v>
      </c>
      <c r="D2" s="15" t="s">
        <v>130</v>
      </c>
    </row>
    <row r="3" spans="1:4" ht="25" customHeight="1" x14ac:dyDescent="0.25">
      <c r="A3" s="13" t="s">
        <v>127</v>
      </c>
      <c r="B3" s="13">
        <v>2</v>
      </c>
      <c r="D3" s="15"/>
    </row>
    <row r="4" spans="1:4" ht="25" customHeight="1" x14ac:dyDescent="0.25">
      <c r="A4" s="13" t="s">
        <v>128</v>
      </c>
      <c r="B4" s="13">
        <v>10</v>
      </c>
      <c r="D4" s="15" t="s">
        <v>131</v>
      </c>
    </row>
    <row r="5" spans="1:4" ht="25" customHeight="1" x14ac:dyDescent="0.25">
      <c r="A5" s="13" t="s">
        <v>129</v>
      </c>
      <c r="B5" s="13">
        <v>4</v>
      </c>
      <c r="D5" s="15"/>
    </row>
    <row r="6" spans="1:4" x14ac:dyDescent="0.25">
      <c r="D6" s="15"/>
    </row>
    <row r="7" spans="1:4" x14ac:dyDescent="0.25">
      <c r="D7" s="15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842B4-7EBB-4C5D-A38C-6C26EFB69984}">
  <dimension ref="A1:D7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1" width="29.625" customWidth="1"/>
    <col min="2" max="2" width="22.625" customWidth="1"/>
    <col min="4" max="4" width="60.625" customWidth="1"/>
  </cols>
  <sheetData>
    <row r="1" spans="1:4" ht="46.05" customHeight="1" x14ac:dyDescent="0.25">
      <c r="A1" s="2" t="s">
        <v>88</v>
      </c>
      <c r="B1" s="2" t="s">
        <v>1</v>
      </c>
      <c r="D1" s="14" t="s">
        <v>76</v>
      </c>
    </row>
    <row r="2" spans="1:4" ht="25" customHeight="1" x14ac:dyDescent="0.25">
      <c r="A2" s="13" t="s">
        <v>2</v>
      </c>
      <c r="B2" s="13">
        <v>1000</v>
      </c>
      <c r="D2" s="15" t="s">
        <v>134</v>
      </c>
    </row>
    <row r="3" spans="1:4" ht="25" customHeight="1" x14ac:dyDescent="0.25">
      <c r="A3" s="13" t="s">
        <v>4</v>
      </c>
      <c r="B3" s="13">
        <v>0.8</v>
      </c>
      <c r="D3" s="15"/>
    </row>
    <row r="4" spans="1:4" ht="25" customHeight="1" x14ac:dyDescent="0.25">
      <c r="A4" s="13" t="s">
        <v>5</v>
      </c>
      <c r="B4" s="13">
        <v>0.9</v>
      </c>
      <c r="D4" s="15" t="s">
        <v>135</v>
      </c>
    </row>
    <row r="5" spans="1:4" ht="25" customHeight="1" x14ac:dyDescent="0.25">
      <c r="A5" s="13" t="s">
        <v>132</v>
      </c>
      <c r="B5" s="13">
        <v>0.05</v>
      </c>
      <c r="D5" s="15"/>
    </row>
    <row r="6" spans="1:4" ht="25" customHeight="1" x14ac:dyDescent="0.25">
      <c r="A6" s="13" t="s">
        <v>133</v>
      </c>
      <c r="B6" s="13">
        <v>0.2</v>
      </c>
      <c r="D6" s="15"/>
    </row>
    <row r="7" spans="1:4" x14ac:dyDescent="0.25">
      <c r="D7" s="15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4F6C-3E49-4FEE-A0DE-F5BB05C050BE}">
  <dimension ref="A1:D7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1" width="40.625" customWidth="1"/>
    <col min="2" max="2" width="22.625" customWidth="1"/>
    <col min="4" max="4" width="60.625" customWidth="1"/>
  </cols>
  <sheetData>
    <row r="1" spans="1:4" ht="46.05" customHeight="1" x14ac:dyDescent="0.25">
      <c r="A1" s="2" t="s">
        <v>88</v>
      </c>
      <c r="B1" s="2" t="s">
        <v>1</v>
      </c>
      <c r="D1" s="14" t="s">
        <v>76</v>
      </c>
    </row>
    <row r="2" spans="1:4" ht="25" customHeight="1" x14ac:dyDescent="0.25">
      <c r="A2" s="13" t="s">
        <v>136</v>
      </c>
      <c r="B2" s="13">
        <v>0.85</v>
      </c>
      <c r="D2" s="15" t="s">
        <v>139</v>
      </c>
    </row>
    <row r="3" spans="1:4" ht="25" customHeight="1" x14ac:dyDescent="0.25">
      <c r="A3" s="13" t="s">
        <v>137</v>
      </c>
      <c r="B3" s="13">
        <v>0.15</v>
      </c>
      <c r="D3" s="15"/>
    </row>
    <row r="4" spans="1:4" ht="25" customHeight="1" x14ac:dyDescent="0.25">
      <c r="A4" s="13" t="s">
        <v>138</v>
      </c>
      <c r="B4" s="13">
        <v>0.8</v>
      </c>
      <c r="D4" s="15" t="s">
        <v>140</v>
      </c>
    </row>
    <row r="5" spans="1:4" x14ac:dyDescent="0.25">
      <c r="D5" s="15"/>
    </row>
    <row r="6" spans="1:4" x14ac:dyDescent="0.25">
      <c r="D6" s="15"/>
    </row>
    <row r="7" spans="1:4" x14ac:dyDescent="0.25">
      <c r="D7" s="15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1506-7AC8-4A8B-9DEB-1ADEB1D49C63}">
  <dimension ref="A1:E7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3" width="22.625" customWidth="1"/>
    <col min="5" max="5" width="60.625" customWidth="1"/>
  </cols>
  <sheetData>
    <row r="1" spans="1:5" ht="46.05" customHeight="1" x14ac:dyDescent="0.25">
      <c r="A1" s="2" t="s">
        <v>141</v>
      </c>
      <c r="B1" s="2" t="s">
        <v>142</v>
      </c>
      <c r="C1" s="2" t="s">
        <v>143</v>
      </c>
      <c r="E1" s="14" t="s">
        <v>76</v>
      </c>
    </row>
    <row r="2" spans="1:5" ht="25" customHeight="1" x14ac:dyDescent="0.25">
      <c r="A2" s="13">
        <v>0</v>
      </c>
      <c r="B2" s="13">
        <v>0.1</v>
      </c>
      <c r="C2" s="13">
        <v>3</v>
      </c>
      <c r="E2" s="15" t="s">
        <v>144</v>
      </c>
    </row>
    <row r="3" spans="1:5" ht="25" customHeight="1" x14ac:dyDescent="0.25">
      <c r="A3" s="13">
        <v>1</v>
      </c>
      <c r="B3" s="13">
        <v>0.4</v>
      </c>
      <c r="C3" s="13">
        <v>7</v>
      </c>
      <c r="E3" s="15"/>
    </row>
    <row r="4" spans="1:5" ht="25" customHeight="1" x14ac:dyDescent="0.25">
      <c r="A4" s="13">
        <v>2</v>
      </c>
      <c r="B4" s="13">
        <v>0.35</v>
      </c>
      <c r="C4" s="13">
        <v>8</v>
      </c>
      <c r="E4" s="15" t="s">
        <v>145</v>
      </c>
    </row>
    <row r="5" spans="1:5" ht="25" customHeight="1" x14ac:dyDescent="0.25">
      <c r="A5" s="13">
        <v>3</v>
      </c>
      <c r="B5" s="13">
        <v>0.15</v>
      </c>
      <c r="C5" s="13">
        <v>2</v>
      </c>
      <c r="E5" s="15"/>
    </row>
    <row r="6" spans="1:5" x14ac:dyDescent="0.25">
      <c r="E6" s="15"/>
    </row>
    <row r="7" spans="1:5" x14ac:dyDescent="0.25">
      <c r="E7" s="15"/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33A0-B8E2-4837-8E18-D82DB08D0A7C}">
  <dimension ref="A1:D7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1" width="42.625" customWidth="1"/>
    <col min="2" max="2" width="22.625" customWidth="1"/>
    <col min="4" max="4" width="60.625" customWidth="1"/>
  </cols>
  <sheetData>
    <row r="1" spans="1:4" ht="46.05" customHeight="1" x14ac:dyDescent="0.25">
      <c r="A1" s="2" t="s">
        <v>88</v>
      </c>
      <c r="B1" s="2" t="s">
        <v>1</v>
      </c>
      <c r="D1" s="14" t="s">
        <v>76</v>
      </c>
    </row>
    <row r="2" spans="1:4" ht="25" customHeight="1" x14ac:dyDescent="0.25">
      <c r="A2" s="13" t="s">
        <v>146</v>
      </c>
      <c r="B2" s="13">
        <v>4</v>
      </c>
      <c r="D2" s="15" t="s">
        <v>148</v>
      </c>
    </row>
    <row r="3" spans="1:4" ht="25" customHeight="1" x14ac:dyDescent="0.25">
      <c r="A3" s="13" t="s">
        <v>96</v>
      </c>
      <c r="B3" s="13">
        <v>0.5</v>
      </c>
      <c r="D3" s="15"/>
    </row>
    <row r="4" spans="1:4" ht="25" customHeight="1" x14ac:dyDescent="0.25">
      <c r="A4" s="13" t="s">
        <v>147</v>
      </c>
      <c r="B4" s="13">
        <v>3</v>
      </c>
      <c r="D4" s="15" t="s">
        <v>131</v>
      </c>
    </row>
    <row r="5" spans="1:4" x14ac:dyDescent="0.25">
      <c r="D5" s="15"/>
    </row>
    <row r="6" spans="1:4" x14ac:dyDescent="0.25">
      <c r="D6" s="15"/>
    </row>
    <row r="7" spans="1:4" x14ac:dyDescent="0.25">
      <c r="D7" s="15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7393-349B-4318-95E4-D25117FB8944}">
  <dimension ref="A1:D7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1" width="29.625" customWidth="1"/>
    <col min="2" max="2" width="22.625" customWidth="1"/>
    <col min="4" max="4" width="60.625" customWidth="1"/>
  </cols>
  <sheetData>
    <row r="1" spans="1:4" ht="46.05" customHeight="1" x14ac:dyDescent="0.25">
      <c r="A1" s="2" t="s">
        <v>88</v>
      </c>
      <c r="B1" s="2" t="s">
        <v>1</v>
      </c>
      <c r="D1" s="14" t="s">
        <v>76</v>
      </c>
    </row>
    <row r="2" spans="1:4" ht="25" customHeight="1" x14ac:dyDescent="0.25">
      <c r="A2" s="13" t="s">
        <v>146</v>
      </c>
      <c r="B2" s="13">
        <v>15</v>
      </c>
      <c r="D2" s="15" t="s">
        <v>149</v>
      </c>
    </row>
    <row r="3" spans="1:4" ht="25" customHeight="1" x14ac:dyDescent="0.25">
      <c r="A3" s="13" t="s">
        <v>95</v>
      </c>
      <c r="B3" s="13">
        <v>5</v>
      </c>
      <c r="D3" s="15"/>
    </row>
    <row r="4" spans="1:4" ht="25" customHeight="1" x14ac:dyDescent="0.25">
      <c r="A4" s="13" t="s">
        <v>46</v>
      </c>
      <c r="B4" s="13">
        <v>3</v>
      </c>
      <c r="D4" s="15" t="s">
        <v>131</v>
      </c>
    </row>
    <row r="5" spans="1:4" ht="25" customHeight="1" x14ac:dyDescent="0.25">
      <c r="A5" s="13" t="s">
        <v>47</v>
      </c>
      <c r="B5" s="13">
        <v>7</v>
      </c>
      <c r="D5" s="15"/>
    </row>
    <row r="6" spans="1:4" x14ac:dyDescent="0.25">
      <c r="D6" s="15"/>
    </row>
    <row r="7" spans="1:4" x14ac:dyDescent="0.25">
      <c r="D7" s="15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C7E1-19C0-426F-AE4D-9B922116EEF4}">
  <dimension ref="A1:D7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1" width="34.625" customWidth="1"/>
    <col min="2" max="2" width="22.625" customWidth="1"/>
    <col min="4" max="4" width="60.625" customWidth="1"/>
  </cols>
  <sheetData>
    <row r="1" spans="1:4" ht="46.05" customHeight="1" x14ac:dyDescent="0.25">
      <c r="A1" s="2" t="s">
        <v>88</v>
      </c>
      <c r="B1" s="2" t="s">
        <v>1</v>
      </c>
      <c r="D1" s="14" t="s">
        <v>76</v>
      </c>
    </row>
    <row r="2" spans="1:4" ht="25" customHeight="1" x14ac:dyDescent="0.25">
      <c r="A2" s="13" t="s">
        <v>146</v>
      </c>
      <c r="B2" s="13">
        <v>100</v>
      </c>
      <c r="D2" s="15" t="s">
        <v>150</v>
      </c>
    </row>
    <row r="3" spans="1:4" ht="25" customHeight="1" x14ac:dyDescent="0.25">
      <c r="A3" s="13" t="s">
        <v>96</v>
      </c>
      <c r="B3" s="13">
        <v>0.5</v>
      </c>
      <c r="D3" s="15"/>
    </row>
    <row r="4" spans="1:4" ht="25" customHeight="1" x14ac:dyDescent="0.25">
      <c r="A4" s="13" t="s">
        <v>105</v>
      </c>
      <c r="B4" s="13">
        <v>65</v>
      </c>
      <c r="D4" s="15" t="s">
        <v>151</v>
      </c>
    </row>
    <row r="5" spans="1:4" x14ac:dyDescent="0.25">
      <c r="D5" s="15"/>
    </row>
    <row r="6" spans="1:4" x14ac:dyDescent="0.25">
      <c r="D6" s="15"/>
    </row>
    <row r="7" spans="1:4" x14ac:dyDescent="0.25">
      <c r="D7" s="15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22</vt:i4>
      </vt:variant>
    </vt:vector>
  </HeadingPairs>
  <TitlesOfParts>
    <vt:vector size="22" baseType="lpstr">
      <vt:lpstr>Prehled</vt:lpstr>
      <vt:lpstr>Bayes</vt:lpstr>
      <vt:lpstr>Binom</vt:lpstr>
      <vt:lpstr>Binom_20</vt:lpstr>
      <vt:lpstr>Aproximace</vt:lpstr>
      <vt:lpstr>Karticky</vt:lpstr>
      <vt:lpstr>Tabulka_zavislost</vt:lpstr>
      <vt:lpstr>Tabulka_nezavislost</vt:lpstr>
      <vt:lpstr>Screening</vt:lpstr>
      <vt:lpstr>Test_hadani</vt:lpstr>
      <vt:lpstr>Sim_hadani</vt:lpstr>
      <vt:lpstr>Rozpoznavani</vt:lpstr>
      <vt:lpstr>Losovani</vt:lpstr>
      <vt:lpstr>U01_emoce</vt:lpstr>
      <vt:lpstr>U03_tabulka</vt:lpstr>
      <vt:lpstr>U04_vstupy</vt:lpstr>
      <vt:lpstr>U06_screening</vt:lpstr>
      <vt:lpstr>U07_taxi</vt:lpstr>
      <vt:lpstr>U08_rozdeleni</vt:lpstr>
      <vt:lpstr>U09_test</vt:lpstr>
      <vt:lpstr>U10_test</vt:lpstr>
      <vt:lpstr>U11_aproximace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2026-10-11T21:55:13Z</dcterms:created>
  <dcterms:modified xsi:type="dcterms:W3CDTF">2026-10-11T21:55:18Z</dcterms:modified>
</cp:coreProperties>
</file>