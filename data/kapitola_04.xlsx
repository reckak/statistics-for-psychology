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17B669C1-94DC-487F-A994-8DC06F67240F}" xr6:coauthVersionLast="47" xr6:coauthVersionMax="47" xr10:uidLastSave="{00000000-0000-0000-0000-000000000000}"/>
  <bookViews>
    <workbookView xWindow="-109" yWindow="-109" windowWidth="34995" windowHeight="19060" xr2:uid="{4D7CAE42-A276-43C5-8ABA-098102ED0B2C}"/>
  </bookViews>
  <sheets>
    <sheet name="Prehled" sheetId="1" r:id="rId1"/>
    <sheet name="Model" sheetId="2" r:id="rId2"/>
    <sheet name="QQ" sheetId="3" r:id="rId3"/>
    <sheet name="Z_skory" sheetId="4" r:id="rId4"/>
    <sheet name="Standardizace" sheetId="5" r:id="rId5"/>
    <sheet name="Normalizace" sheetId="6" r:id="rId6"/>
    <sheet name="Modely" sheetId="7" r:id="rId7"/>
    <sheet name="Skaly" sheetId="8" r:id="rId8"/>
    <sheet name="U01_reference" sheetId="9" r:id="rId9"/>
    <sheet name="U02_standardizace" sheetId="10" r:id="rId10"/>
    <sheet name="U03_model" sheetId="11" r:id="rId11"/>
    <sheet name="U04_plochy" sheetId="12" r:id="rId12"/>
    <sheet name="U05_percentily" sheetId="13" r:id="rId13"/>
    <sheet name="U06_zaokrouhleni" sheetId="14" r:id="rId14"/>
    <sheet name="U07_prevody" sheetId="15" r:id="rId15"/>
    <sheet name="U08_pasmo" sheetId="16" r:id="rId16"/>
    <sheet name="QQ_data" sheetId="17" r:id="rId17"/>
    <sheet name="Sim_normalni" sheetId="18" r:id="rId18"/>
    <sheet name="Sim_sikme" sheetId="19" r:id="rId19"/>
    <sheet name="Sim_chvosty" sheetId="20" r:id="rId20"/>
    <sheet name="Sim_smes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H3" i="3"/>
  <c r="F3" i="3" s="1"/>
  <c r="H2" i="3"/>
  <c r="C3" i="3" s="1"/>
  <c r="D3" i="3" s="1"/>
  <c r="B23" i="2"/>
  <c r="B25" i="2" s="1"/>
  <c r="B19" i="2"/>
  <c r="B17" i="2"/>
  <c r="B18" i="2" s="1"/>
  <c r="B13" i="2"/>
  <c r="B9" i="2"/>
  <c r="B6" i="2"/>
  <c r="B7" i="2" s="1"/>
  <c r="B8" i="2" s="1"/>
  <c r="C2" i="3" l="1"/>
  <c r="D2" i="3" s="1"/>
  <c r="C10" i="3"/>
  <c r="D10" i="3" s="1"/>
  <c r="E10" i="3" s="1"/>
  <c r="C6" i="3"/>
  <c r="D6" i="3" s="1"/>
  <c r="E6" i="3" s="1"/>
  <c r="F2" i="3"/>
  <c r="E2" i="3"/>
  <c r="F9" i="3"/>
  <c r="F13" i="3"/>
  <c r="F12" i="3"/>
  <c r="F8" i="3"/>
  <c r="C13" i="3"/>
  <c r="D13" i="3" s="1"/>
  <c r="E13" i="3" s="1"/>
  <c r="C9" i="3"/>
  <c r="D9" i="3" s="1"/>
  <c r="E9" i="3" s="1"/>
  <c r="B24" i="2"/>
  <c r="F7" i="3"/>
  <c r="F11" i="3"/>
  <c r="F10" i="3"/>
  <c r="C5" i="3"/>
  <c r="D5" i="3" s="1"/>
  <c r="E5" i="3" s="1"/>
  <c r="C12" i="3"/>
  <c r="D12" i="3" s="1"/>
  <c r="E12" i="3" s="1"/>
  <c r="C8" i="3"/>
  <c r="D8" i="3" s="1"/>
  <c r="E8" i="3" s="1"/>
  <c r="C4" i="3"/>
  <c r="D4" i="3" s="1"/>
  <c r="E4" i="3" s="1"/>
  <c r="F6" i="3"/>
  <c r="E11" i="3"/>
  <c r="E7" i="3"/>
  <c r="E3" i="3"/>
  <c r="F5" i="3"/>
  <c r="F4" i="3"/>
  <c r="C11" i="3"/>
  <c r="D11" i="3" s="1"/>
  <c r="C7" i="3"/>
  <c r="D7" i="3" s="1"/>
</calcChain>
</file>

<file path=xl/sharedStrings.xml><?xml version="1.0" encoding="utf-8"?>
<sst xmlns="http://schemas.openxmlformats.org/spreadsheetml/2006/main" count="229" uniqueCount="135">
  <si>
    <t>Normální model</t>
  </si>
  <si>
    <t>Hodnota</t>
  </si>
  <si>
    <t>Průměr (body)</t>
  </si>
  <si>
    <t>Směrodatná odchylka (body)</t>
  </si>
  <si>
    <t>Hranice (body)</t>
  </si>
  <si>
    <t>Z-skór hranice</t>
  </si>
  <si>
    <t>Podíl nejvýše po hranici</t>
  </si>
  <si>
    <t>Podíl nad hranicí</t>
  </si>
  <si>
    <t>Přímý převod na podíl</t>
  </si>
  <si>
    <t>Dolní hranice (body)</t>
  </si>
  <si>
    <t>Horní hranice (body)</t>
  </si>
  <si>
    <t>Podíl mezi hranicemi</t>
  </si>
  <si>
    <t>Podíl vlevo</t>
  </si>
  <si>
    <t>Z-skór percentilu</t>
  </si>
  <si>
    <t>Percentil (body)</t>
  </si>
  <si>
    <t>Přímý převod na percentil (body)</t>
  </si>
  <si>
    <t>Prostřední podíl</t>
  </si>
  <si>
    <t>Podíl v jednom chvostu</t>
  </si>
  <si>
    <t>Dolní mez (body)</t>
  </si>
  <si>
    <t>Horní mez (body)</t>
  </si>
  <si>
    <t>Autorský ilustrační model skóru pozornosti.</t>
  </si>
  <si>
    <t>Nejde o skutečný test ani jeho normy.</t>
  </si>
  <si>
    <t>Žlutě: vstupy. Modře: výpočty.</t>
  </si>
  <si>
    <t>Odchylka musí být kladná.</t>
  </si>
  <si>
    <t>Podíly v B16 a B22: větší než 0, menší než 1.</t>
  </si>
  <si>
    <t>Pro další výpočty ponechte plnou přesnost.</t>
  </si>
  <si>
    <t>Procentní formát nenásobte znovu stem.</t>
  </si>
  <si>
    <t>České vzorce a postup: kapitola 4 učebnice.</t>
  </si>
  <si>
    <t>Pořadí</t>
  </si>
  <si>
    <t>Skór (body)</t>
  </si>
  <si>
    <t>Podíl</t>
  </si>
  <si>
    <t>Normální kvantil z</t>
  </si>
  <si>
    <t>Referenční hodnota (body)</t>
  </si>
  <si>
    <t>Počet</t>
  </si>
  <si>
    <t>Průměr</t>
  </si>
  <si>
    <t>Směrodatná odchylka</t>
  </si>
  <si>
    <t>Modelový podíl (P–P)</t>
  </si>
  <si>
    <t>Autorská ilustrační data, již seřazená vzestupně.</t>
  </si>
  <si>
    <t>Podíl: střed pořadového dílku (i − 0,5) / n.</t>
  </si>
  <si>
    <t>Přímka používá průměr a odchylku těchto dat.</t>
  </si>
  <si>
    <t>Měňte skóry ve žlutých buňkách a zachovejte pořadí.</t>
  </si>
  <si>
    <t>Graf a vzorce se přepočítají. Data nemají být prázdná.</t>
  </si>
  <si>
    <t>Sloupec F a druhý graf: nepovinný P–P graf (podíl C proti F).</t>
  </si>
  <si>
    <t>Test</t>
  </si>
  <si>
    <t>A</t>
  </si>
  <si>
    <t>B</t>
  </si>
  <si>
    <t>Použití a původ</t>
  </si>
  <si>
    <t>Výklad: dvě různé referenční skupiny</t>
  </si>
  <si>
    <t>Autorské ilustrační údaje. Nejde o skutečný výzkum.</t>
  </si>
  <si>
    <t>Doba (min)</t>
  </si>
  <si>
    <t>Výklad: standardizace pěti časů</t>
  </si>
  <si>
    <t>Doba řešení (s)</t>
  </si>
  <si>
    <t>Výklad: normalizace rozdělení přes pořadí</t>
  </si>
  <si>
    <t>Patnáct seřazených dob; převod přes kompromisní percentilové pořadí a NORM.S.INV ukazuje tabulka ve výkladu.</t>
  </si>
  <si>
    <t>Model</t>
  </si>
  <si>
    <t>Základní</t>
  </si>
  <si>
    <t>Posunutý</t>
  </si>
  <si>
    <t>Širší</t>
  </si>
  <si>
    <t>Výklad: poloha a šířka normálního modelu</t>
  </si>
  <si>
    <t>Škála</t>
  </si>
  <si>
    <t>z</t>
  </si>
  <si>
    <t>T</t>
  </si>
  <si>
    <t>IQ</t>
  </si>
  <si>
    <t>Subtest</t>
  </si>
  <si>
    <t>Výklad a cvičení 7: lineární převody</t>
  </si>
  <si>
    <t>Skupina</t>
  </si>
  <si>
    <t>Z pro zpětný převod</t>
  </si>
  <si>
    <t>Cvičení 1</t>
  </si>
  <si>
    <t>Cvičení 2</t>
  </si>
  <si>
    <t>Vstup</t>
  </si>
  <si>
    <t>Posuzovaná hustota (na bod)</t>
  </si>
  <si>
    <t>Druhý údaj v alternativním zápisu</t>
  </si>
  <si>
    <t>Cvičení 3</t>
  </si>
  <si>
    <t>Počet lidí ve skutečné skupině</t>
  </si>
  <si>
    <t>Nejvýše 45 bodů ve skutečné skupině</t>
  </si>
  <si>
    <t>Cvičení 4</t>
  </si>
  <si>
    <t>Podíl vpravo</t>
  </si>
  <si>
    <t>Cvičení 5</t>
  </si>
  <si>
    <t>Zaznamenaný skór (body)</t>
  </si>
  <si>
    <t>Krok zaokrouhlení (body)</t>
  </si>
  <si>
    <t>Cvičení 6</t>
  </si>
  <si>
    <t>T-skór</t>
  </si>
  <si>
    <t>Cvičení 7</t>
  </si>
  <si>
    <t>První skór slouží k lineárnímu převodu; ostatní tři k porovnání modelových percentilových pořadí. Parametry škál jsou na listu Skaly.</t>
  </si>
  <si>
    <t>Z-skór</t>
  </si>
  <si>
    <t>Cvičení 8</t>
  </si>
  <si>
    <t>Výklad Q–Q; cvičení 9</t>
  </si>
  <si>
    <t>Seřazené autorské skóry. Sestavte vlastní graf; hotová kontrola je na listu QQ. V úloze 9 změňte 65 na 90 a poté obnovte 65.</t>
  </si>
  <si>
    <t>Simulovaný skór (body)</t>
  </si>
  <si>
    <t>Obrázky histogramů a Q–Q grafů</t>
  </si>
  <si>
    <t>Simulovaná data z obrázků kapitoly, 200 hodnot. Nejde o skutečný test ani o nezadaná individuální data cvičení 10.</t>
  </si>
  <si>
    <t>Data ke kapitole 4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</si>
  <si>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</si>
  <si>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</si>
  <si>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</si>
  <si>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</si>
  <si>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</si>
  <si>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</si>
  <si>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</si>
  <si>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Z_skory</t>
  </si>
  <si>
    <t>A2:D3</t>
  </si>
  <si>
    <t>Standardizace</t>
  </si>
  <si>
    <t>A2:A6</t>
  </si>
  <si>
    <t>Normalizace</t>
  </si>
  <si>
    <t>A2:A16</t>
  </si>
  <si>
    <t>Modely</t>
  </si>
  <si>
    <t>A2:C4</t>
  </si>
  <si>
    <t>Skaly</t>
  </si>
  <si>
    <t>A2:C5</t>
  </si>
  <si>
    <t>U01_reference</t>
  </si>
  <si>
    <t>A2:E3</t>
  </si>
  <si>
    <t>U02_standardizace</t>
  </si>
  <si>
    <t>U03_model</t>
  </si>
  <si>
    <t>A2:B6</t>
  </si>
  <si>
    <t>U04_plochy</t>
  </si>
  <si>
    <t>A2:B7</t>
  </si>
  <si>
    <t>U05_percentily</t>
  </si>
  <si>
    <t>U06_zaokrouhleni</t>
  </si>
  <si>
    <t>A2:B5</t>
  </si>
  <si>
    <t>U07_prevody</t>
  </si>
  <si>
    <t>A2:A5</t>
  </si>
  <si>
    <t>U08_pasmo</t>
  </si>
  <si>
    <t>A2:A4</t>
  </si>
  <si>
    <t>QQ_data</t>
  </si>
  <si>
    <t>A2:A13</t>
  </si>
  <si>
    <t>Sim_normalni</t>
  </si>
  <si>
    <t>A2:A201</t>
  </si>
  <si>
    <t>Sim_sikme</t>
  </si>
  <si>
    <t>Sim_chvosty</t>
  </si>
  <si>
    <t>Sim_smes</t>
  </si>
  <si>
    <t>A1:D25</t>
  </si>
  <si>
    <t>Hotové převody modelu N(50, 10)</t>
  </si>
  <si>
    <t>QQ</t>
  </si>
  <si>
    <t>A1:N44</t>
  </si>
  <si>
    <t>Hotový Q–Q graf, nepovinný P–P graf a mezivýpočty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</si>
</sst>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0" borderId="0" xfId="0" applyNumberFormat="1" applyFont="1" applyAlignment="1">
      <alignment vertical="center"/>
    </xf>
    <xf numFmtId="1" fontId="1" fillId="3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166" fontId="1" fillId="3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Normální Q–Q graf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QQ!$B$2:$B$13</c:f>
              <c:numCache>
                <c:formatCode>0</c:formatCode>
                <c:ptCount val="12"/>
                <c:pt idx="0">
                  <c:v>35</c:v>
                </c:pt>
                <c:pt idx="1">
                  <c:v>39</c:v>
                </c:pt>
                <c:pt idx="2">
                  <c:v>42</c:v>
                </c:pt>
                <c:pt idx="3">
                  <c:v>45</c:v>
                </c:pt>
                <c:pt idx="4">
                  <c:v>47</c:v>
                </c:pt>
                <c:pt idx="5">
                  <c:v>49</c:v>
                </c:pt>
                <c:pt idx="6">
                  <c:v>51</c:v>
                </c:pt>
                <c:pt idx="7">
                  <c:v>53</c:v>
                </c:pt>
                <c:pt idx="8">
                  <c:v>55</c:v>
                </c:pt>
                <c:pt idx="9">
                  <c:v>58</c:v>
                </c:pt>
                <c:pt idx="10">
                  <c:v>61</c:v>
                </c:pt>
                <c:pt idx="1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923-4FD2-95A5-F36A1562BCA4}"/>
            </c:ext>
          </c:extLst>
        </c:ser>
        <c:ser>
          <c:idx val="1"/>
          <c:order val="1"/>
          <c:tx>
            <c:v>Referenční přímka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QQ!$E$2:$E$13</c:f>
              <c:numCache>
                <c:formatCode>0.000</c:formatCode>
                <c:ptCount val="12"/>
                <c:pt idx="0">
                  <c:v>34.423768669978713</c:v>
                </c:pt>
                <c:pt idx="1">
                  <c:v>39.652667053034193</c:v>
                </c:pt>
                <c:pt idx="2">
                  <c:v>42.694143048240605</c:v>
                </c:pt>
                <c:pt idx="3">
                  <c:v>45.066070548017578</c:v>
                </c:pt>
                <c:pt idx="4">
                  <c:v>47.133855465831509</c:v>
                </c:pt>
                <c:pt idx="5">
                  <c:v>49.058827499627533</c:v>
                </c:pt>
                <c:pt idx="6">
                  <c:v>50.941172500372467</c:v>
                </c:pt>
                <c:pt idx="7">
                  <c:v>52.866144534168491</c:v>
                </c:pt>
                <c:pt idx="8">
                  <c:v>54.933929451982429</c:v>
                </c:pt>
                <c:pt idx="9">
                  <c:v>57.305856951759395</c:v>
                </c:pt>
                <c:pt idx="10">
                  <c:v>60.347332946965807</c:v>
                </c:pt>
                <c:pt idx="11">
                  <c:v>65.576231330021287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923-4FD2-95A5-F36A1562B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6123087"/>
        <c:axId val="926139887"/>
      </c:scatterChart>
      <c:valAx>
        <c:axId val="926123087"/>
        <c:scaling>
          <c:orientation val="minMax"/>
          <c:max val="2"/>
          <c:min val="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Teoretický normální kvantil (z)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926139887"/>
        <c:crosses val="autoZero"/>
        <c:crossBetween val="midCat"/>
        <c:majorUnit val="1"/>
      </c:valAx>
      <c:valAx>
        <c:axId val="9261398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Pozorovaný skór (body)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low"/>
        <c:crossAx val="926123087"/>
        <c:crossesAt val="-2"/>
        <c:crossBetween val="midCat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P–P graf (nepovinné)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xVal>
          <c:yVal>
            <c:numRef>
              <c:f>QQ!$F$2:$F$13</c:f>
              <c:numCache>
                <c:formatCode>0.000000</c:formatCode>
                <c:ptCount val="12"/>
                <c:pt idx="0">
                  <c:v>4.769730764606428E-2</c:v>
                </c:pt>
                <c:pt idx="1">
                  <c:v>0.11068209655016407</c:v>
                </c:pt>
                <c:pt idx="2">
                  <c:v>0.18689726251601743</c:v>
                </c:pt>
                <c:pt idx="3">
                  <c:v>0.28915069200159116</c:v>
                </c:pt>
                <c:pt idx="4">
                  <c:v>0.3693706912104468</c:v>
                </c:pt>
                <c:pt idx="5">
                  <c:v>0.45573937647191709</c:v>
                </c:pt>
                <c:pt idx="6">
                  <c:v>0.54426062352808291</c:v>
                </c:pt>
                <c:pt idx="7">
                  <c:v>0.63062930878955314</c:v>
                </c:pt>
                <c:pt idx="8">
                  <c:v>0.71084930799840884</c:v>
                </c:pt>
                <c:pt idx="9">
                  <c:v>0.81310273748398254</c:v>
                </c:pt>
                <c:pt idx="10">
                  <c:v>0.88931790344983597</c:v>
                </c:pt>
                <c:pt idx="11">
                  <c:v>0.95230269235393572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1AF-4EF5-B986-BA8CCCA5CCA6}"/>
            </c:ext>
          </c:extLst>
        </c:ser>
        <c:ser>
          <c:idx val="1"/>
          <c:order val="1"/>
          <c:tx>
            <c:v>Úhlopříčka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xVal>
          <c:y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1AF-4EF5-B986-BA8CCCA5C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6140847"/>
        <c:axId val="926141807"/>
      </c:scatterChart>
      <c:valAx>
        <c:axId val="926140847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Empirický podíl (i − 0,5)/n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926141807"/>
        <c:crosses val="autoZero"/>
        <c:crossBetween val="midCat"/>
        <c:majorUnit val="0.2"/>
      </c:valAx>
      <c:valAx>
        <c:axId val="926141807"/>
        <c:scaling>
          <c:orientation val="minMax"/>
          <c:max val="1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Modelový podíl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926140847"/>
        <c:crossesAt val="0"/>
        <c:crossBetween val="midCat"/>
        <c:majorUnit val="0.2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0960FCE-1690-9B43-17A9-A519702ED5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14</xdr:col>
      <xdr:colOff>0</xdr:colOff>
      <xdr:row>43</xdr:row>
      <xdr:rowOff>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B22F1649-BBFC-B11B-F6D3-B55EB36466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9B37D-BCF4-40D6-9787-0C4984086B4D}">
  <dimension ref="A1:C30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0.625" customWidth="1"/>
  </cols>
  <sheetData>
    <row r="1" spans="1:3" ht="30.1" customHeight="1" x14ac:dyDescent="0.25">
      <c r="A1" s="21" t="s">
        <v>91</v>
      </c>
      <c r="B1" s="19"/>
      <c r="C1" s="19"/>
    </row>
    <row r="2" spans="1:3" ht="30.1" customHeight="1" x14ac:dyDescent="0.25">
      <c r="A2" s="1"/>
      <c r="B2" s="1"/>
      <c r="C2" s="1"/>
    </row>
    <row r="3" spans="1:3" ht="30.1" customHeight="1" x14ac:dyDescent="0.25">
      <c r="A3" s="20" t="s">
        <v>92</v>
      </c>
      <c r="B3" s="19"/>
      <c r="C3" s="19"/>
    </row>
    <row r="4" spans="1:3" ht="30.1" customHeight="1" x14ac:dyDescent="0.25">
      <c r="A4" s="20" t="s">
        <v>93</v>
      </c>
      <c r="B4" s="19"/>
      <c r="C4" s="19"/>
    </row>
    <row r="5" spans="1:3" ht="30.1" customHeight="1" x14ac:dyDescent="0.25">
      <c r="A5" s="20" t="s">
        <v>94</v>
      </c>
      <c r="B5" s="19"/>
      <c r="C5" s="19"/>
    </row>
    <row r="6" spans="1:3" ht="30.1" customHeight="1" x14ac:dyDescent="0.25">
      <c r="A6" s="20" t="s">
        <v>95</v>
      </c>
      <c r="B6" s="19"/>
      <c r="C6" s="19"/>
    </row>
    <row r="7" spans="1:3" ht="30.1" customHeight="1" x14ac:dyDescent="0.25">
      <c r="A7" s="3" t="s">
        <v>96</v>
      </c>
      <c r="B7" s="3" t="s">
        <v>97</v>
      </c>
      <c r="C7" s="3" t="s">
        <v>98</v>
      </c>
    </row>
    <row r="8" spans="1:3" ht="30.1" customHeight="1" x14ac:dyDescent="0.25">
      <c r="A8" s="2" t="s">
        <v>99</v>
      </c>
      <c r="B8" s="2" t="s">
        <v>100</v>
      </c>
      <c r="C8" s="2" t="s">
        <v>47</v>
      </c>
    </row>
    <row r="9" spans="1:3" ht="30.1" customHeight="1" x14ac:dyDescent="0.25">
      <c r="A9" s="2" t="s">
        <v>101</v>
      </c>
      <c r="B9" s="2" t="s">
        <v>102</v>
      </c>
      <c r="C9" s="2" t="s">
        <v>50</v>
      </c>
    </row>
    <row r="10" spans="1:3" ht="30.1" customHeight="1" x14ac:dyDescent="0.25">
      <c r="A10" s="2" t="s">
        <v>103</v>
      </c>
      <c r="B10" s="2" t="s">
        <v>104</v>
      </c>
      <c r="C10" s="2" t="s">
        <v>52</v>
      </c>
    </row>
    <row r="11" spans="1:3" ht="30.1" customHeight="1" x14ac:dyDescent="0.25">
      <c r="A11" s="2" t="s">
        <v>105</v>
      </c>
      <c r="B11" s="2" t="s">
        <v>106</v>
      </c>
      <c r="C11" s="2" t="s">
        <v>58</v>
      </c>
    </row>
    <row r="12" spans="1:3" ht="30.1" customHeight="1" x14ac:dyDescent="0.25">
      <c r="A12" s="2" t="s">
        <v>107</v>
      </c>
      <c r="B12" s="2" t="s">
        <v>108</v>
      </c>
      <c r="C12" s="2" t="s">
        <v>64</v>
      </c>
    </row>
    <row r="13" spans="1:3" ht="30.1" customHeight="1" x14ac:dyDescent="0.25">
      <c r="A13" s="2" t="s">
        <v>109</v>
      </c>
      <c r="B13" s="2" t="s">
        <v>110</v>
      </c>
      <c r="C13" s="2" t="s">
        <v>67</v>
      </c>
    </row>
    <row r="14" spans="1:3" ht="30.1" customHeight="1" x14ac:dyDescent="0.25">
      <c r="A14" s="2" t="s">
        <v>111</v>
      </c>
      <c r="B14" s="2" t="s">
        <v>102</v>
      </c>
      <c r="C14" s="2" t="s">
        <v>68</v>
      </c>
    </row>
    <row r="15" spans="1:3" ht="30.1" customHeight="1" x14ac:dyDescent="0.25">
      <c r="A15" s="2" t="s">
        <v>112</v>
      </c>
      <c r="B15" s="2" t="s">
        <v>113</v>
      </c>
      <c r="C15" s="2" t="s">
        <v>72</v>
      </c>
    </row>
    <row r="16" spans="1:3" ht="30.1" customHeight="1" x14ac:dyDescent="0.25">
      <c r="A16" s="2" t="s">
        <v>114</v>
      </c>
      <c r="B16" s="2" t="s">
        <v>115</v>
      </c>
      <c r="C16" s="2" t="s">
        <v>75</v>
      </c>
    </row>
    <row r="17" spans="1:3" ht="30.1" customHeight="1" x14ac:dyDescent="0.25">
      <c r="A17" s="2" t="s">
        <v>116</v>
      </c>
      <c r="B17" s="2" t="s">
        <v>113</v>
      </c>
      <c r="C17" s="2" t="s">
        <v>77</v>
      </c>
    </row>
    <row r="18" spans="1:3" ht="30.1" customHeight="1" x14ac:dyDescent="0.25">
      <c r="A18" s="2" t="s">
        <v>117</v>
      </c>
      <c r="B18" s="2" t="s">
        <v>118</v>
      </c>
      <c r="C18" s="2" t="s">
        <v>80</v>
      </c>
    </row>
    <row r="19" spans="1:3" ht="30.1" customHeight="1" x14ac:dyDescent="0.25">
      <c r="A19" s="2" t="s">
        <v>119</v>
      </c>
      <c r="B19" s="2" t="s">
        <v>120</v>
      </c>
      <c r="C19" s="2" t="s">
        <v>82</v>
      </c>
    </row>
    <row r="20" spans="1:3" ht="30.1" customHeight="1" x14ac:dyDescent="0.25">
      <c r="A20" s="2" t="s">
        <v>121</v>
      </c>
      <c r="B20" s="2" t="s">
        <v>122</v>
      </c>
      <c r="C20" s="2" t="s">
        <v>85</v>
      </c>
    </row>
    <row r="21" spans="1:3" ht="30.1" customHeight="1" x14ac:dyDescent="0.25">
      <c r="A21" s="2" t="s">
        <v>123</v>
      </c>
      <c r="B21" s="2" t="s">
        <v>124</v>
      </c>
      <c r="C21" s="2" t="s">
        <v>86</v>
      </c>
    </row>
    <row r="22" spans="1:3" ht="30.1" customHeight="1" x14ac:dyDescent="0.25">
      <c r="A22" s="2" t="s">
        <v>125</v>
      </c>
      <c r="B22" s="2" t="s">
        <v>126</v>
      </c>
      <c r="C22" s="2" t="s">
        <v>89</v>
      </c>
    </row>
    <row r="23" spans="1:3" ht="30.1" customHeight="1" x14ac:dyDescent="0.25">
      <c r="A23" s="2" t="s">
        <v>127</v>
      </c>
      <c r="B23" s="2" t="s">
        <v>126</v>
      </c>
      <c r="C23" s="2" t="s">
        <v>89</v>
      </c>
    </row>
    <row r="24" spans="1:3" ht="30.1" customHeight="1" x14ac:dyDescent="0.25">
      <c r="A24" s="2" t="s">
        <v>128</v>
      </c>
      <c r="B24" s="2" t="s">
        <v>126</v>
      </c>
      <c r="C24" s="2" t="s">
        <v>89</v>
      </c>
    </row>
    <row r="25" spans="1:3" ht="30.1" customHeight="1" x14ac:dyDescent="0.25">
      <c r="A25" s="2" t="s">
        <v>129</v>
      </c>
      <c r="B25" s="2" t="s">
        <v>126</v>
      </c>
      <c r="C25" s="2" t="s">
        <v>89</v>
      </c>
    </row>
    <row r="26" spans="1:3" ht="30.1" customHeight="1" x14ac:dyDescent="0.25">
      <c r="A26" s="2" t="s">
        <v>54</v>
      </c>
      <c r="B26" s="2" t="s">
        <v>130</v>
      </c>
      <c r="C26" s="2" t="s">
        <v>131</v>
      </c>
    </row>
    <row r="27" spans="1:3" ht="30.1" customHeight="1" x14ac:dyDescent="0.25">
      <c r="A27" s="2" t="s">
        <v>132</v>
      </c>
      <c r="B27" s="2" t="s">
        <v>133</v>
      </c>
      <c r="C27" s="2" t="s">
        <v>134</v>
      </c>
    </row>
    <row r="28" spans="1:3" ht="30.1" customHeight="1" x14ac:dyDescent="0.25">
      <c r="A28" s="1"/>
      <c r="B28" s="1"/>
      <c r="C28" s="1"/>
    </row>
    <row r="29" spans="1:3" ht="30.1" customHeight="1" x14ac:dyDescent="0.25">
      <c r="A29" s="1"/>
      <c r="B29" s="1"/>
      <c r="C29" s="1"/>
    </row>
    <row r="30" spans="1:3" ht="30.1" customHeight="1" x14ac:dyDescent="0.25">
      <c r="A30" s="1"/>
      <c r="B30" s="1"/>
      <c r="C30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92F48-9441-477F-908F-1D4ECAE41637}">
  <dimension ref="A1:F29"/>
  <sheetViews>
    <sheetView workbookViewId="0"/>
  </sheetViews>
  <sheetFormatPr defaultRowHeight="14.3" x14ac:dyDescent="0.25"/>
  <cols>
    <col min="1" max="1" width="37.625" customWidth="1"/>
    <col min="2" max="2" width="17.625" customWidth="1"/>
    <col min="3" max="3" width="15.625" customWidth="1"/>
    <col min="4" max="4" width="52.625" customWidth="1"/>
    <col min="5" max="6" width="15.625" customWidth="1"/>
  </cols>
  <sheetData>
    <row r="1" spans="1:6" ht="4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ht="23.95" customHeight="1" x14ac:dyDescent="0.25">
      <c r="A2" s="2" t="s">
        <v>2</v>
      </c>
      <c r="B2" s="5">
        <v>50</v>
      </c>
      <c r="C2" s="1"/>
      <c r="D2" s="2" t="s">
        <v>20</v>
      </c>
      <c r="E2" s="1"/>
      <c r="F2" s="1"/>
    </row>
    <row r="3" spans="1:6" ht="23.95" customHeight="1" x14ac:dyDescent="0.25">
      <c r="A3" s="2" t="s">
        <v>3</v>
      </c>
      <c r="B3" s="5">
        <v>10</v>
      </c>
      <c r="C3" s="1"/>
      <c r="D3" s="2" t="s">
        <v>21</v>
      </c>
      <c r="E3" s="1"/>
      <c r="F3" s="1"/>
    </row>
    <row r="4" spans="1:6" ht="23.95" customHeight="1" x14ac:dyDescent="0.25">
      <c r="A4" s="2" t="s">
        <v>4</v>
      </c>
      <c r="B4" s="5">
        <v>60</v>
      </c>
      <c r="C4" s="1"/>
      <c r="D4" s="1"/>
      <c r="E4" s="1"/>
      <c r="F4" s="1"/>
    </row>
    <row r="5" spans="1:6" ht="23.95" customHeight="1" x14ac:dyDescent="0.25">
      <c r="A5" s="1"/>
      <c r="B5" s="1"/>
      <c r="C5" s="1"/>
      <c r="D5" s="2" t="s">
        <v>22</v>
      </c>
      <c r="E5" s="1"/>
      <c r="F5" s="1"/>
    </row>
    <row r="6" spans="1:6" ht="23.95" customHeight="1" x14ac:dyDescent="0.25">
      <c r="A6" s="2" t="s">
        <v>5</v>
      </c>
      <c r="B6" s="6">
        <f>(B4-B2)/B3</f>
        <v>1</v>
      </c>
      <c r="C6" s="1"/>
      <c r="D6" s="1"/>
      <c r="E6" s="1"/>
      <c r="F6" s="1"/>
    </row>
    <row r="7" spans="1:6" ht="23.95" customHeight="1" x14ac:dyDescent="0.25">
      <c r="A7" s="2" t="s">
        <v>6</v>
      </c>
      <c r="B7" s="7">
        <f>_xlfn.NORM.S.DIST(B6,TRUE)</f>
        <v>0.84134474606854304</v>
      </c>
      <c r="C7" s="1"/>
      <c r="D7" s="2" t="s">
        <v>23</v>
      </c>
      <c r="E7" s="1"/>
      <c r="F7" s="1"/>
    </row>
    <row r="8" spans="1:6" ht="23.95" customHeight="1" x14ac:dyDescent="0.25">
      <c r="A8" s="2" t="s">
        <v>7</v>
      </c>
      <c r="B8" s="7">
        <f>1-B7</f>
        <v>0.15865525393145696</v>
      </c>
      <c r="C8" s="1"/>
      <c r="D8" s="2" t="s">
        <v>24</v>
      </c>
      <c r="E8" s="1"/>
      <c r="F8" s="1"/>
    </row>
    <row r="9" spans="1:6" ht="23.95" customHeight="1" x14ac:dyDescent="0.25">
      <c r="A9" s="2" t="s">
        <v>8</v>
      </c>
      <c r="B9" s="7">
        <f>_xlfn.NORM.DIST(B4,B2,B3,TRUE)</f>
        <v>0.84134474606854304</v>
      </c>
      <c r="C9" s="1"/>
      <c r="D9" s="1"/>
      <c r="E9" s="1"/>
      <c r="F9" s="1"/>
    </row>
    <row r="10" spans="1:6" ht="23.95" customHeight="1" x14ac:dyDescent="0.25">
      <c r="A10" s="1"/>
      <c r="B10" s="1"/>
      <c r="C10" s="1"/>
      <c r="D10" s="2" t="s">
        <v>25</v>
      </c>
      <c r="E10" s="1"/>
      <c r="F10" s="1"/>
    </row>
    <row r="11" spans="1:6" ht="23.95" customHeight="1" x14ac:dyDescent="0.25">
      <c r="A11" s="2" t="s">
        <v>9</v>
      </c>
      <c r="B11" s="5">
        <v>60</v>
      </c>
      <c r="C11" s="1"/>
      <c r="D11" s="2" t="s">
        <v>26</v>
      </c>
      <c r="E11" s="1"/>
      <c r="F11" s="1"/>
    </row>
    <row r="12" spans="1:6" ht="23.95" customHeight="1" x14ac:dyDescent="0.25">
      <c r="A12" s="2" t="s">
        <v>10</v>
      </c>
      <c r="B12" s="5">
        <v>70</v>
      </c>
      <c r="C12" s="1"/>
      <c r="D12" s="1"/>
      <c r="E12" s="1"/>
      <c r="F12" s="1"/>
    </row>
    <row r="13" spans="1:6" ht="23.95" customHeight="1" x14ac:dyDescent="0.25">
      <c r="A13" s="2" t="s">
        <v>11</v>
      </c>
      <c r="B13" s="7">
        <f>_xlfn.NORM.S.DIST((B12-B2)/B3,TRUE)-_xlfn.NORM.S.DIST((B11-B2)/B3,TRUE)</f>
        <v>0.13590512198327775</v>
      </c>
      <c r="C13" s="1"/>
      <c r="D13" s="1"/>
      <c r="E13" s="1"/>
      <c r="F13" s="1"/>
    </row>
    <row r="14" spans="1:6" ht="23.95" customHeight="1" x14ac:dyDescent="0.25">
      <c r="A14" s="1"/>
      <c r="B14" s="1"/>
      <c r="C14" s="1"/>
      <c r="D14" s="2" t="s">
        <v>27</v>
      </c>
      <c r="E14" s="1"/>
      <c r="F14" s="1"/>
    </row>
    <row r="15" spans="1:6" ht="23.95" customHeight="1" x14ac:dyDescent="0.25">
      <c r="A15" s="1"/>
      <c r="B15" s="1"/>
      <c r="C15" s="1"/>
      <c r="D15" s="1"/>
      <c r="E15" s="1"/>
      <c r="F15" s="1"/>
    </row>
    <row r="16" spans="1:6" ht="23.95" customHeight="1" x14ac:dyDescent="0.25">
      <c r="A16" s="2" t="s">
        <v>12</v>
      </c>
      <c r="B16" s="8">
        <v>0.9</v>
      </c>
      <c r="C16" s="1"/>
      <c r="D16" s="1"/>
      <c r="E16" s="1"/>
      <c r="F16" s="1"/>
    </row>
    <row r="17" spans="1:6" ht="23.95" customHeight="1" x14ac:dyDescent="0.25">
      <c r="A17" s="2" t="s">
        <v>13</v>
      </c>
      <c r="B17" s="6">
        <f>_xlfn.NORM.S.INV(B16)</f>
        <v>1.2815515655446006</v>
      </c>
      <c r="C17" s="1"/>
      <c r="D17" s="1"/>
      <c r="E17" s="1"/>
      <c r="F17" s="1"/>
    </row>
    <row r="18" spans="1:6" ht="23.95" customHeight="1" x14ac:dyDescent="0.25">
      <c r="A18" s="2" t="s">
        <v>14</v>
      </c>
      <c r="B18" s="9">
        <f>B2+B3*B17</f>
        <v>62.815515655446006</v>
      </c>
      <c r="C18" s="1"/>
      <c r="D18" s="1"/>
      <c r="E18" s="1"/>
      <c r="F18" s="1"/>
    </row>
    <row r="19" spans="1:6" ht="23.95" customHeight="1" x14ac:dyDescent="0.25">
      <c r="A19" s="2" t="s">
        <v>15</v>
      </c>
      <c r="B19" s="9">
        <f>_xlfn.NORM.INV(B16,B2,B3)</f>
        <v>62.815515655446006</v>
      </c>
      <c r="C19" s="1"/>
      <c r="D19" s="1"/>
      <c r="E19" s="1"/>
      <c r="F19" s="1"/>
    </row>
    <row r="20" spans="1:6" ht="23.95" customHeight="1" x14ac:dyDescent="0.25">
      <c r="A20" s="1"/>
      <c r="B20" s="1"/>
      <c r="C20" s="1"/>
      <c r="D20" s="1"/>
      <c r="E20" s="1"/>
      <c r="F20" s="1"/>
    </row>
    <row r="21" spans="1:6" ht="23.95" customHeight="1" x14ac:dyDescent="0.25">
      <c r="A21" s="1"/>
      <c r="B21" s="1"/>
      <c r="C21" s="1"/>
      <c r="D21" s="1"/>
      <c r="E21" s="1"/>
      <c r="F21" s="1"/>
    </row>
    <row r="22" spans="1:6" ht="23.95" customHeight="1" x14ac:dyDescent="0.25">
      <c r="A22" s="2" t="s">
        <v>16</v>
      </c>
      <c r="B22" s="8">
        <v>0.95</v>
      </c>
      <c r="C22" s="1"/>
      <c r="D22" s="1"/>
      <c r="E22" s="1"/>
      <c r="F22" s="1"/>
    </row>
    <row r="23" spans="1:6" ht="23.95" customHeight="1" x14ac:dyDescent="0.25">
      <c r="A23" s="2" t="s">
        <v>17</v>
      </c>
      <c r="B23" s="7">
        <f>(1-B22)/2</f>
        <v>2.5000000000000022E-2</v>
      </c>
      <c r="C23" s="1"/>
      <c r="D23" s="1"/>
      <c r="E23" s="1"/>
      <c r="F23" s="1"/>
    </row>
    <row r="24" spans="1:6" ht="23.95" customHeight="1" x14ac:dyDescent="0.25">
      <c r="A24" s="2" t="s">
        <v>18</v>
      </c>
      <c r="B24" s="9">
        <f>_xlfn.NORM.INV(B23,B2,B3)</f>
        <v>30.400360154599465</v>
      </c>
      <c r="C24" s="1"/>
      <c r="D24" s="1"/>
      <c r="E24" s="1"/>
      <c r="F24" s="1"/>
    </row>
    <row r="25" spans="1:6" ht="23.95" customHeight="1" x14ac:dyDescent="0.25">
      <c r="A25" s="2" t="s">
        <v>19</v>
      </c>
      <c r="B25" s="9">
        <f>_xlfn.NORM.INV(1-B23,B2,B3)</f>
        <v>69.599639845400532</v>
      </c>
      <c r="C25" s="1"/>
      <c r="D25" s="1"/>
      <c r="E25" s="1"/>
      <c r="F25" s="1"/>
    </row>
    <row r="26" spans="1:6" ht="23.95" customHeight="1" x14ac:dyDescent="0.25">
      <c r="A26" s="1"/>
      <c r="B26" s="1"/>
      <c r="C26" s="1"/>
      <c r="D26" s="1"/>
      <c r="E26" s="1"/>
      <c r="F26" s="1"/>
    </row>
    <row r="27" spans="1:6" ht="23.95" customHeight="1" x14ac:dyDescent="0.25">
      <c r="A27" s="1"/>
      <c r="B27" s="1"/>
      <c r="C27" s="1"/>
      <c r="D27" s="1"/>
      <c r="E27" s="1"/>
      <c r="F27" s="1"/>
    </row>
    <row r="28" spans="1:6" ht="23.95" customHeight="1" x14ac:dyDescent="0.25">
      <c r="A28" s="1"/>
      <c r="B28" s="1"/>
      <c r="C28" s="1"/>
      <c r="D28" s="1"/>
      <c r="E28" s="1"/>
      <c r="F28" s="1"/>
    </row>
    <row r="29" spans="1:6" ht="23.95" customHeight="1" x14ac:dyDescent="0.25">
      <c r="A29" s="1"/>
      <c r="B29" s="1"/>
      <c r="C29" s="1"/>
      <c r="D29" s="1"/>
      <c r="E29" s="1"/>
      <c r="F29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DCF0A-4AA9-4A26-A410-C5113EC45D33}">
  <dimension ref="A1:N44"/>
  <sheetViews>
    <sheetView workbookViewId="0"/>
  </sheetViews>
  <sheetFormatPr defaultRowHeight="14.3" x14ac:dyDescent="0.25"/>
  <cols>
    <col min="1" max="1" width="9.625" customWidth="1"/>
    <col min="2" max="3" width="15.625" customWidth="1"/>
    <col min="4" max="5" width="20.625" customWidth="1"/>
    <col min="6" max="6" width="16.625" customWidth="1"/>
    <col min="7" max="7" width="26.625" customWidth="1"/>
    <col min="8" max="8" width="12.625" customWidth="1"/>
    <col min="9" max="14" width="15.625" customWidth="1"/>
  </cols>
  <sheetData>
    <row r="1" spans="1:14" ht="44" customHeight="1" x14ac:dyDescent="0.25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36</v>
      </c>
      <c r="G1" s="1"/>
      <c r="H1" s="1"/>
      <c r="I1" s="1"/>
      <c r="J1" s="1"/>
      <c r="K1" s="1"/>
      <c r="L1" s="1"/>
      <c r="M1" s="1"/>
      <c r="N1" s="1"/>
    </row>
    <row r="2" spans="1:14" ht="23.95" customHeight="1" x14ac:dyDescent="0.25">
      <c r="A2" s="10">
        <v>1</v>
      </c>
      <c r="B2" s="11">
        <v>35</v>
      </c>
      <c r="C2" s="13">
        <f>(A2-0.5)/$H$2</f>
        <v>4.1666666666666664E-2</v>
      </c>
      <c r="D2" s="6">
        <f>_xlfn.NORM.S.INV(C2)</f>
        <v>-1.7316643961222451</v>
      </c>
      <c r="E2" s="6">
        <f>$H$3+$H$4*D2</f>
        <v>34.423768669978713</v>
      </c>
      <c r="F2" s="13">
        <f>_xlfn.NORM.S.DIST((B2-$H$3)/$H$4,TRUE)</f>
        <v>4.769730764606428E-2</v>
      </c>
      <c r="G2" s="2" t="s">
        <v>33</v>
      </c>
      <c r="H2" s="12">
        <f>COUNT(B2:B13)</f>
        <v>12</v>
      </c>
      <c r="I2" s="1"/>
      <c r="J2" s="1"/>
      <c r="K2" s="1"/>
      <c r="L2" s="1"/>
      <c r="M2" s="1"/>
      <c r="N2" s="1"/>
    </row>
    <row r="3" spans="1:14" ht="23.95" customHeight="1" x14ac:dyDescent="0.25">
      <c r="A3" s="10">
        <v>2</v>
      </c>
      <c r="B3" s="11">
        <v>39</v>
      </c>
      <c r="C3" s="13">
        <f t="shared" ref="C3:C13" si="0">(A3-0.5)/$H$2</f>
        <v>0.125</v>
      </c>
      <c r="D3" s="6">
        <f t="shared" ref="D3:D13" si="1">_xlfn.NORM.S.INV(C3)</f>
        <v>-1.1503493803760083</v>
      </c>
      <c r="E3" s="6">
        <f t="shared" ref="E3:E13" si="2">$H$3+$H$4*D3</f>
        <v>39.652667053034193</v>
      </c>
      <c r="F3" s="13">
        <f t="shared" ref="F3:F13" si="3">_xlfn.NORM.S.DIST((B3-$H$3)/$H$4,TRUE)</f>
        <v>0.11068209655016407</v>
      </c>
      <c r="G3" s="2" t="s">
        <v>34</v>
      </c>
      <c r="H3" s="6">
        <f>AVERAGE(B2:B13)</f>
        <v>50</v>
      </c>
      <c r="I3" s="1"/>
      <c r="J3" s="1"/>
      <c r="K3" s="1"/>
      <c r="L3" s="1"/>
      <c r="M3" s="1"/>
      <c r="N3" s="1"/>
    </row>
    <row r="4" spans="1:14" ht="23.95" customHeight="1" x14ac:dyDescent="0.25">
      <c r="A4" s="10">
        <v>3</v>
      </c>
      <c r="B4" s="11">
        <v>42</v>
      </c>
      <c r="C4" s="13">
        <f t="shared" si="0"/>
        <v>0.20833333333333334</v>
      </c>
      <c r="D4" s="6">
        <f t="shared" si="1"/>
        <v>-0.81221780149991241</v>
      </c>
      <c r="E4" s="6">
        <f t="shared" si="2"/>
        <v>42.694143048240605</v>
      </c>
      <c r="F4" s="13">
        <f t="shared" si="3"/>
        <v>0.18689726251601743</v>
      </c>
      <c r="G4" s="2" t="s">
        <v>35</v>
      </c>
      <c r="H4" s="6">
        <f>_xlfn.STDEV.S(B2:B13)</f>
        <v>8.9949480770647536</v>
      </c>
      <c r="I4" s="1"/>
      <c r="J4" s="1"/>
      <c r="K4" s="1"/>
      <c r="L4" s="1"/>
      <c r="M4" s="1"/>
      <c r="N4" s="1"/>
    </row>
    <row r="5" spans="1:14" ht="23.95" customHeight="1" x14ac:dyDescent="0.25">
      <c r="A5" s="10">
        <v>4</v>
      </c>
      <c r="B5" s="11">
        <v>45</v>
      </c>
      <c r="C5" s="13">
        <f t="shared" si="0"/>
        <v>0.29166666666666669</v>
      </c>
      <c r="D5" s="6">
        <f t="shared" si="1"/>
        <v>-0.54852228269809788</v>
      </c>
      <c r="E5" s="6">
        <f t="shared" si="2"/>
        <v>45.066070548017578</v>
      </c>
      <c r="F5" s="13">
        <f t="shared" si="3"/>
        <v>0.28915069200159116</v>
      </c>
      <c r="G5" s="1"/>
      <c r="H5" s="1"/>
      <c r="I5" s="1"/>
      <c r="J5" s="1"/>
      <c r="K5" s="1"/>
      <c r="L5" s="1"/>
      <c r="M5" s="1"/>
      <c r="N5" s="1"/>
    </row>
    <row r="6" spans="1:14" ht="23.95" customHeight="1" x14ac:dyDescent="0.25">
      <c r="A6" s="10">
        <v>5</v>
      </c>
      <c r="B6" s="11">
        <v>47</v>
      </c>
      <c r="C6" s="13">
        <f t="shared" si="0"/>
        <v>0.375</v>
      </c>
      <c r="D6" s="6">
        <f t="shared" si="1"/>
        <v>-0.3186393639643752</v>
      </c>
      <c r="E6" s="6">
        <f t="shared" si="2"/>
        <v>47.133855465831509</v>
      </c>
      <c r="F6" s="13">
        <f t="shared" si="3"/>
        <v>0.3693706912104468</v>
      </c>
      <c r="G6" s="1"/>
      <c r="H6" s="1"/>
      <c r="I6" s="1"/>
      <c r="J6" s="1"/>
      <c r="K6" s="1"/>
      <c r="L6" s="1"/>
      <c r="M6" s="1"/>
      <c r="N6" s="1"/>
    </row>
    <row r="7" spans="1:14" ht="23.95" customHeight="1" x14ac:dyDescent="0.25">
      <c r="A7" s="10">
        <v>6</v>
      </c>
      <c r="B7" s="11">
        <v>49</v>
      </c>
      <c r="C7" s="13">
        <f t="shared" si="0"/>
        <v>0.45833333333333331</v>
      </c>
      <c r="D7" s="6">
        <f t="shared" si="1"/>
        <v>-0.10463345561407539</v>
      </c>
      <c r="E7" s="6">
        <f t="shared" si="2"/>
        <v>49.058827499627533</v>
      </c>
      <c r="F7" s="13">
        <f t="shared" si="3"/>
        <v>0.45573937647191709</v>
      </c>
      <c r="G7" s="1"/>
      <c r="H7" s="1"/>
      <c r="I7" s="1"/>
      <c r="J7" s="1"/>
      <c r="K7" s="1"/>
      <c r="L7" s="1"/>
      <c r="M7" s="1"/>
      <c r="N7" s="1"/>
    </row>
    <row r="8" spans="1:14" ht="23.95" customHeight="1" x14ac:dyDescent="0.25">
      <c r="A8" s="10">
        <v>7</v>
      </c>
      <c r="B8" s="11">
        <v>51</v>
      </c>
      <c r="C8" s="13">
        <f t="shared" si="0"/>
        <v>0.54166666666666663</v>
      </c>
      <c r="D8" s="6">
        <f t="shared" si="1"/>
        <v>0.10463345561407525</v>
      </c>
      <c r="E8" s="6">
        <f t="shared" si="2"/>
        <v>50.941172500372467</v>
      </c>
      <c r="F8" s="13">
        <f t="shared" si="3"/>
        <v>0.54426062352808291</v>
      </c>
      <c r="G8" s="1"/>
      <c r="H8" s="1"/>
      <c r="I8" s="1"/>
      <c r="J8" s="1"/>
      <c r="K8" s="1"/>
      <c r="L8" s="1"/>
      <c r="M8" s="1"/>
      <c r="N8" s="1"/>
    </row>
    <row r="9" spans="1:14" ht="23.95" customHeight="1" x14ac:dyDescent="0.25">
      <c r="A9" s="10">
        <v>8</v>
      </c>
      <c r="B9" s="11">
        <v>53</v>
      </c>
      <c r="C9" s="13">
        <f t="shared" si="0"/>
        <v>0.625</v>
      </c>
      <c r="D9" s="6">
        <f t="shared" si="1"/>
        <v>0.3186393639643752</v>
      </c>
      <c r="E9" s="6">
        <f t="shared" si="2"/>
        <v>52.866144534168491</v>
      </c>
      <c r="F9" s="13">
        <f t="shared" si="3"/>
        <v>0.63062930878955314</v>
      </c>
      <c r="G9" s="1"/>
      <c r="H9" s="1"/>
      <c r="I9" s="1"/>
      <c r="J9" s="1"/>
      <c r="K9" s="1"/>
      <c r="L9" s="1"/>
      <c r="M9" s="1"/>
      <c r="N9" s="1"/>
    </row>
    <row r="10" spans="1:14" ht="23.95" customHeight="1" x14ac:dyDescent="0.25">
      <c r="A10" s="10">
        <v>9</v>
      </c>
      <c r="B10" s="11">
        <v>55</v>
      </c>
      <c r="C10" s="13">
        <f t="shared" si="0"/>
        <v>0.70833333333333337</v>
      </c>
      <c r="D10" s="6">
        <f t="shared" si="1"/>
        <v>0.54852228269809822</v>
      </c>
      <c r="E10" s="6">
        <f t="shared" si="2"/>
        <v>54.933929451982429</v>
      </c>
      <c r="F10" s="13">
        <f t="shared" si="3"/>
        <v>0.71084930799840884</v>
      </c>
      <c r="G10" s="1"/>
      <c r="H10" s="1"/>
      <c r="I10" s="1"/>
      <c r="J10" s="1"/>
      <c r="K10" s="1"/>
      <c r="L10" s="1"/>
      <c r="M10" s="1"/>
      <c r="N10" s="1"/>
    </row>
    <row r="11" spans="1:14" ht="23.95" customHeight="1" x14ac:dyDescent="0.25">
      <c r="A11" s="10">
        <v>10</v>
      </c>
      <c r="B11" s="11">
        <v>58</v>
      </c>
      <c r="C11" s="13">
        <f t="shared" si="0"/>
        <v>0.79166666666666663</v>
      </c>
      <c r="D11" s="6">
        <f t="shared" si="1"/>
        <v>0.81221780149991241</v>
      </c>
      <c r="E11" s="6">
        <f t="shared" si="2"/>
        <v>57.305856951759395</v>
      </c>
      <c r="F11" s="13">
        <f t="shared" si="3"/>
        <v>0.81310273748398254</v>
      </c>
      <c r="G11" s="1"/>
      <c r="H11" s="1"/>
      <c r="I11" s="1"/>
      <c r="J11" s="1"/>
      <c r="K11" s="1"/>
      <c r="L11" s="1"/>
      <c r="M11" s="1"/>
      <c r="N11" s="1"/>
    </row>
    <row r="12" spans="1:14" ht="23.95" customHeight="1" x14ac:dyDescent="0.25">
      <c r="A12" s="10">
        <v>11</v>
      </c>
      <c r="B12" s="11">
        <v>61</v>
      </c>
      <c r="C12" s="13">
        <f t="shared" si="0"/>
        <v>0.875</v>
      </c>
      <c r="D12" s="6">
        <f t="shared" si="1"/>
        <v>1.1503493803760083</v>
      </c>
      <c r="E12" s="6">
        <f t="shared" si="2"/>
        <v>60.347332946965807</v>
      </c>
      <c r="F12" s="13">
        <f t="shared" si="3"/>
        <v>0.88931790344983597</v>
      </c>
      <c r="G12" s="1"/>
      <c r="H12" s="1"/>
      <c r="I12" s="1"/>
      <c r="J12" s="1"/>
      <c r="K12" s="1"/>
      <c r="L12" s="1"/>
      <c r="M12" s="1"/>
      <c r="N12" s="1"/>
    </row>
    <row r="13" spans="1:14" ht="23.95" customHeight="1" x14ac:dyDescent="0.25">
      <c r="A13" s="10">
        <v>12</v>
      </c>
      <c r="B13" s="11">
        <v>65</v>
      </c>
      <c r="C13" s="13">
        <f t="shared" si="0"/>
        <v>0.95833333333333337</v>
      </c>
      <c r="D13" s="6">
        <f t="shared" si="1"/>
        <v>1.7316643961222455</v>
      </c>
      <c r="E13" s="6">
        <f t="shared" si="2"/>
        <v>65.576231330021287</v>
      </c>
      <c r="F13" s="13">
        <f t="shared" si="3"/>
        <v>0.95230269235393572</v>
      </c>
      <c r="G13" s="1"/>
      <c r="H13" s="1"/>
      <c r="I13" s="1"/>
      <c r="J13" s="1"/>
      <c r="K13" s="1"/>
      <c r="L13" s="1"/>
      <c r="M13" s="1"/>
      <c r="N13" s="1"/>
    </row>
    <row r="14" spans="1:14" ht="23.9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3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3.95" customHeight="1" x14ac:dyDescent="0.25">
      <c r="A16" s="2" t="s">
        <v>37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3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3.95" customHeight="1" x14ac:dyDescent="0.25">
      <c r="A18" s="2" t="s">
        <v>38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3.95" customHeight="1" x14ac:dyDescent="0.25">
      <c r="A19" s="2" t="s">
        <v>39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3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23.95" customHeight="1" x14ac:dyDescent="0.25">
      <c r="A21" s="2" t="s">
        <v>40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.95" customHeight="1" x14ac:dyDescent="0.25">
      <c r="A22" s="2" t="s">
        <v>41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3.95" customHeight="1" x14ac:dyDescent="0.25">
      <c r="A24" s="2" t="s">
        <v>42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3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3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23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23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23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23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23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23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23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23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23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23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23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23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23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23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23.9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23.9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23.9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23.9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D5632-074D-4C02-98A3-5FA4AFC2ECE9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43</v>
      </c>
      <c r="B1" s="4" t="s">
        <v>29</v>
      </c>
      <c r="C1" s="4" t="s">
        <v>2</v>
      </c>
      <c r="D1" s="4" t="s">
        <v>3</v>
      </c>
      <c r="F1" s="15" t="s">
        <v>46</v>
      </c>
    </row>
    <row r="2" spans="1:6" ht="25" customHeight="1" x14ac:dyDescent="0.25">
      <c r="A2" s="14" t="s">
        <v>44</v>
      </c>
      <c r="B2" s="14">
        <v>60</v>
      </c>
      <c r="C2" s="14">
        <v>50</v>
      </c>
      <c r="D2" s="14">
        <v>10</v>
      </c>
      <c r="F2" s="17" t="s">
        <v>47</v>
      </c>
    </row>
    <row r="3" spans="1:6" ht="25" customHeight="1" x14ac:dyDescent="0.25">
      <c r="A3" s="14" t="s">
        <v>45</v>
      </c>
      <c r="B3" s="14">
        <v>42</v>
      </c>
      <c r="C3" s="14">
        <v>30</v>
      </c>
      <c r="D3" s="14">
        <v>6</v>
      </c>
      <c r="F3" s="16"/>
    </row>
    <row r="4" spans="1:6" x14ac:dyDescent="0.25">
      <c r="F4" s="17" t="s">
        <v>48</v>
      </c>
    </row>
    <row r="5" spans="1:6" x14ac:dyDescent="0.25">
      <c r="F5" s="16"/>
    </row>
    <row r="6" spans="1:6" x14ac:dyDescent="0.25">
      <c r="F6" s="16"/>
    </row>
    <row r="7" spans="1:6" x14ac:dyDescent="0.25">
      <c r="F7" s="16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933BD-B5A1-43E1-9161-CD10CD1EFBF2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49</v>
      </c>
      <c r="C1" s="15" t="s">
        <v>46</v>
      </c>
    </row>
    <row r="2" spans="1:3" ht="25" customHeight="1" x14ac:dyDescent="0.25">
      <c r="A2" s="14">
        <v>4</v>
      </c>
      <c r="C2" s="17" t="s">
        <v>50</v>
      </c>
    </row>
    <row r="3" spans="1:3" ht="25" customHeight="1" x14ac:dyDescent="0.25">
      <c r="A3" s="14">
        <v>5</v>
      </c>
      <c r="C3" s="16"/>
    </row>
    <row r="4" spans="1:3" ht="25" customHeight="1" x14ac:dyDescent="0.25">
      <c r="A4" s="14">
        <v>5</v>
      </c>
      <c r="C4" s="17" t="s">
        <v>48</v>
      </c>
    </row>
    <row r="5" spans="1:3" ht="25" customHeight="1" x14ac:dyDescent="0.25">
      <c r="A5" s="14">
        <v>6</v>
      </c>
      <c r="C5" s="16"/>
    </row>
    <row r="6" spans="1:3" ht="25" customHeight="1" x14ac:dyDescent="0.25">
      <c r="A6" s="14">
        <v>10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FE5D-C6D9-4C19-B2DD-F8C6B369B004}">
  <dimension ref="A1:C16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51</v>
      </c>
      <c r="C1" s="15" t="s">
        <v>46</v>
      </c>
    </row>
    <row r="2" spans="1:3" ht="25" customHeight="1" x14ac:dyDescent="0.25">
      <c r="A2" s="14">
        <v>11</v>
      </c>
      <c r="C2" s="17" t="s">
        <v>52</v>
      </c>
    </row>
    <row r="3" spans="1:3" ht="25" customHeight="1" x14ac:dyDescent="0.25">
      <c r="A3" s="14">
        <v>12</v>
      </c>
      <c r="C3" s="16"/>
    </row>
    <row r="4" spans="1:3" ht="25" customHeight="1" x14ac:dyDescent="0.25">
      <c r="A4" s="14">
        <v>12</v>
      </c>
      <c r="C4" s="17" t="s">
        <v>53</v>
      </c>
    </row>
    <row r="5" spans="1:3" ht="25" customHeight="1" x14ac:dyDescent="0.25">
      <c r="A5" s="14">
        <v>13</v>
      </c>
      <c r="C5" s="16"/>
    </row>
    <row r="6" spans="1:3" ht="25" customHeight="1" x14ac:dyDescent="0.25">
      <c r="A6" s="14">
        <v>14</v>
      </c>
      <c r="C6" s="16"/>
    </row>
    <row r="7" spans="1:3" ht="25" customHeight="1" x14ac:dyDescent="0.25">
      <c r="A7" s="14">
        <v>14</v>
      </c>
      <c r="C7" s="16"/>
    </row>
    <row r="8" spans="1:3" ht="25" customHeight="1" x14ac:dyDescent="0.25">
      <c r="A8" s="14">
        <v>14</v>
      </c>
    </row>
    <row r="9" spans="1:3" ht="25" customHeight="1" x14ac:dyDescent="0.25">
      <c r="A9" s="14">
        <v>16</v>
      </c>
    </row>
    <row r="10" spans="1:3" ht="25" customHeight="1" x14ac:dyDescent="0.25">
      <c r="A10" s="14">
        <v>17</v>
      </c>
    </row>
    <row r="11" spans="1:3" ht="25" customHeight="1" x14ac:dyDescent="0.25">
      <c r="A11" s="14">
        <v>19</v>
      </c>
    </row>
    <row r="12" spans="1:3" ht="25" customHeight="1" x14ac:dyDescent="0.25">
      <c r="A12" s="14">
        <v>22</v>
      </c>
    </row>
    <row r="13" spans="1:3" ht="25" customHeight="1" x14ac:dyDescent="0.25">
      <c r="A13" s="14">
        <v>26</v>
      </c>
    </row>
    <row r="14" spans="1:3" ht="25" customHeight="1" x14ac:dyDescent="0.25">
      <c r="A14" s="14">
        <v>31</v>
      </c>
    </row>
    <row r="15" spans="1:3" ht="25" customHeight="1" x14ac:dyDescent="0.25">
      <c r="A15" s="14">
        <v>39</v>
      </c>
    </row>
    <row r="16" spans="1:3" ht="25" customHeight="1" x14ac:dyDescent="0.25">
      <c r="A16" s="14">
        <v>52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F8DF5-2501-42D5-B6F3-763F77815F1D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54</v>
      </c>
      <c r="B1" s="4" t="s">
        <v>2</v>
      </c>
      <c r="C1" s="4" t="s">
        <v>3</v>
      </c>
      <c r="E1" s="15" t="s">
        <v>46</v>
      </c>
    </row>
    <row r="2" spans="1:5" ht="25" customHeight="1" x14ac:dyDescent="0.25">
      <c r="A2" s="14" t="s">
        <v>55</v>
      </c>
      <c r="B2" s="14">
        <v>50</v>
      </c>
      <c r="C2" s="14">
        <v>10</v>
      </c>
      <c r="E2" s="17" t="s">
        <v>58</v>
      </c>
    </row>
    <row r="3" spans="1:5" ht="25" customHeight="1" x14ac:dyDescent="0.25">
      <c r="A3" s="14" t="s">
        <v>56</v>
      </c>
      <c r="B3" s="14">
        <v>65</v>
      </c>
      <c r="C3" s="14">
        <v>10</v>
      </c>
      <c r="E3" s="16"/>
    </row>
    <row r="4" spans="1:5" ht="25" customHeight="1" x14ac:dyDescent="0.25">
      <c r="A4" s="14" t="s">
        <v>57</v>
      </c>
      <c r="B4" s="14">
        <v>50</v>
      </c>
      <c r="C4" s="14">
        <v>15</v>
      </c>
      <c r="E4" s="17" t="s">
        <v>48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3403D-288D-41C2-88AA-458E0B879844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59</v>
      </c>
      <c r="B1" s="4" t="s">
        <v>34</v>
      </c>
      <c r="C1" s="4" t="s">
        <v>35</v>
      </c>
      <c r="E1" s="15" t="s">
        <v>46</v>
      </c>
    </row>
    <row r="2" spans="1:5" ht="25" customHeight="1" x14ac:dyDescent="0.25">
      <c r="A2" s="14" t="s">
        <v>60</v>
      </c>
      <c r="B2" s="14">
        <v>0</v>
      </c>
      <c r="C2" s="14">
        <v>1</v>
      </c>
      <c r="E2" s="17" t="s">
        <v>64</v>
      </c>
    </row>
    <row r="3" spans="1:5" ht="25" customHeight="1" x14ac:dyDescent="0.25">
      <c r="A3" s="14" t="s">
        <v>61</v>
      </c>
      <c r="B3" s="14">
        <v>50</v>
      </c>
      <c r="C3" s="14">
        <v>10</v>
      </c>
      <c r="E3" s="16"/>
    </row>
    <row r="4" spans="1:5" ht="25" customHeight="1" x14ac:dyDescent="0.25">
      <c r="A4" s="14" t="s">
        <v>62</v>
      </c>
      <c r="B4" s="14">
        <v>100</v>
      </c>
      <c r="C4" s="14">
        <v>15</v>
      </c>
      <c r="E4" s="17" t="s">
        <v>48</v>
      </c>
    </row>
    <row r="5" spans="1:5" ht="25" customHeight="1" x14ac:dyDescent="0.25">
      <c r="A5" s="14" t="s">
        <v>63</v>
      </c>
      <c r="B5" s="14">
        <v>10</v>
      </c>
      <c r="C5" s="14">
        <v>3</v>
      </c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D6BBD-49ED-46CA-A9EE-35F54E57D19C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65</v>
      </c>
      <c r="B1" s="4" t="s">
        <v>29</v>
      </c>
      <c r="C1" s="4" t="s">
        <v>2</v>
      </c>
      <c r="D1" s="4" t="s">
        <v>3</v>
      </c>
      <c r="E1" s="4" t="s">
        <v>66</v>
      </c>
      <c r="G1" s="15" t="s">
        <v>46</v>
      </c>
    </row>
    <row r="2" spans="1:7" ht="25" customHeight="1" x14ac:dyDescent="0.25">
      <c r="A2" s="14" t="s">
        <v>44</v>
      </c>
      <c r="B2" s="14">
        <v>62</v>
      </c>
      <c r="C2" s="14">
        <v>50</v>
      </c>
      <c r="D2" s="14">
        <v>8</v>
      </c>
      <c r="E2" s="14">
        <v>-0.75</v>
      </c>
      <c r="G2" s="17" t="s">
        <v>67</v>
      </c>
    </row>
    <row r="3" spans="1:7" ht="25" customHeight="1" x14ac:dyDescent="0.25">
      <c r="A3" s="14" t="s">
        <v>45</v>
      </c>
      <c r="B3" s="14">
        <v>62</v>
      </c>
      <c r="C3" s="14">
        <v>65</v>
      </c>
      <c r="D3" s="14">
        <v>6</v>
      </c>
      <c r="E3" s="14"/>
      <c r="G3" s="16"/>
    </row>
    <row r="4" spans="1:7" x14ac:dyDescent="0.25">
      <c r="G4" s="17" t="s">
        <v>48</v>
      </c>
    </row>
    <row r="5" spans="1:7" x14ac:dyDescent="0.25">
      <c r="G5" s="16"/>
    </row>
    <row r="6" spans="1:7" x14ac:dyDescent="0.25">
      <c r="G6" s="16"/>
    </row>
    <row r="7" spans="1:7" x14ac:dyDescent="0.25">
      <c r="G7" s="16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7257B-D556-4CBF-8BE3-DCCDC9094036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49</v>
      </c>
      <c r="C1" s="15" t="s">
        <v>46</v>
      </c>
    </row>
    <row r="2" spans="1:3" ht="25" customHeight="1" x14ac:dyDescent="0.25">
      <c r="A2" s="14">
        <v>2</v>
      </c>
      <c r="C2" s="17" t="s">
        <v>68</v>
      </c>
    </row>
    <row r="3" spans="1:3" ht="25" customHeight="1" x14ac:dyDescent="0.25">
      <c r="A3" s="14">
        <v>2</v>
      </c>
      <c r="C3" s="16"/>
    </row>
    <row r="4" spans="1:3" ht="25" customHeight="1" x14ac:dyDescent="0.25">
      <c r="A4" s="14">
        <v>2</v>
      </c>
      <c r="C4" s="17" t="s">
        <v>48</v>
      </c>
    </row>
    <row r="5" spans="1:3" ht="25" customHeight="1" x14ac:dyDescent="0.25">
      <c r="A5" s="14">
        <v>2</v>
      </c>
      <c r="C5" s="16"/>
    </row>
    <row r="6" spans="1:3" ht="25" customHeight="1" x14ac:dyDescent="0.25">
      <c r="A6" s="14">
        <v>12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361C5-71DB-4A17-A6CA-D70A333C62AF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69</v>
      </c>
      <c r="B1" s="4" t="s">
        <v>1</v>
      </c>
      <c r="D1" s="15" t="s">
        <v>46</v>
      </c>
    </row>
    <row r="2" spans="1:4" ht="25" customHeight="1" x14ac:dyDescent="0.25">
      <c r="A2" s="14" t="s">
        <v>2</v>
      </c>
      <c r="B2" s="14">
        <v>80</v>
      </c>
      <c r="D2" s="17" t="s">
        <v>72</v>
      </c>
    </row>
    <row r="3" spans="1:4" ht="25" customHeight="1" x14ac:dyDescent="0.25">
      <c r="A3" s="14" t="s">
        <v>3</v>
      </c>
      <c r="B3" s="14">
        <v>5</v>
      </c>
      <c r="D3" s="16"/>
    </row>
    <row r="4" spans="1:4" ht="25" customHeight="1" x14ac:dyDescent="0.25">
      <c r="A4" s="14" t="s">
        <v>70</v>
      </c>
      <c r="B4" s="14">
        <v>0.08</v>
      </c>
      <c r="D4" s="17" t="s">
        <v>48</v>
      </c>
    </row>
    <row r="5" spans="1:4" ht="25" customHeight="1" x14ac:dyDescent="0.25">
      <c r="A5" s="14" t="s">
        <v>4</v>
      </c>
      <c r="B5" s="14">
        <v>85</v>
      </c>
      <c r="D5" s="16"/>
    </row>
    <row r="6" spans="1:4" ht="25" customHeight="1" x14ac:dyDescent="0.25">
      <c r="A6" s="14" t="s">
        <v>71</v>
      </c>
      <c r="B6" s="14">
        <v>25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3AF7-F141-4EF2-8D8B-77FFCDA82420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69</v>
      </c>
      <c r="B1" s="4" t="s">
        <v>1</v>
      </c>
      <c r="D1" s="15" t="s">
        <v>46</v>
      </c>
    </row>
    <row r="2" spans="1:4" ht="25" customHeight="1" x14ac:dyDescent="0.25">
      <c r="A2" s="14" t="s">
        <v>2</v>
      </c>
      <c r="B2" s="14">
        <v>50</v>
      </c>
      <c r="D2" s="17" t="s">
        <v>75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18</v>
      </c>
      <c r="B4" s="14">
        <v>45</v>
      </c>
      <c r="D4" s="17" t="s">
        <v>48</v>
      </c>
    </row>
    <row r="5" spans="1:4" ht="25" customHeight="1" x14ac:dyDescent="0.25">
      <c r="A5" s="14" t="s">
        <v>19</v>
      </c>
      <c r="B5" s="14">
        <v>65</v>
      </c>
      <c r="D5" s="16"/>
    </row>
    <row r="6" spans="1:4" ht="25" customHeight="1" x14ac:dyDescent="0.25">
      <c r="A6" s="14" t="s">
        <v>73</v>
      </c>
      <c r="B6" s="14">
        <v>20</v>
      </c>
      <c r="D6" s="16"/>
    </row>
    <row r="7" spans="1:4" ht="25" customHeight="1" x14ac:dyDescent="0.25">
      <c r="A7" s="14" t="s">
        <v>74</v>
      </c>
      <c r="B7" s="14">
        <v>8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E6EF-58FE-4E1A-9480-CC492BFA52D1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69</v>
      </c>
      <c r="B1" s="4" t="s">
        <v>1</v>
      </c>
      <c r="D1" s="15" t="s">
        <v>46</v>
      </c>
    </row>
    <row r="2" spans="1:4" ht="25" customHeight="1" x14ac:dyDescent="0.25">
      <c r="A2" s="14" t="s">
        <v>2</v>
      </c>
      <c r="B2" s="14">
        <v>50</v>
      </c>
      <c r="D2" s="17" t="s">
        <v>77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12</v>
      </c>
      <c r="B4" s="14">
        <v>0.2</v>
      </c>
      <c r="D4" s="17" t="s">
        <v>48</v>
      </c>
    </row>
    <row r="5" spans="1:4" ht="25" customHeight="1" x14ac:dyDescent="0.25">
      <c r="A5" s="14" t="s">
        <v>76</v>
      </c>
      <c r="B5" s="14">
        <v>0.1</v>
      </c>
      <c r="D5" s="16"/>
    </row>
    <row r="6" spans="1:4" ht="25" customHeight="1" x14ac:dyDescent="0.25">
      <c r="A6" s="14" t="s">
        <v>16</v>
      </c>
      <c r="B6" s="14">
        <v>0.9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4B569-A307-4C3F-B353-B0E60BD74045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69</v>
      </c>
      <c r="B1" s="4" t="s">
        <v>1</v>
      </c>
      <c r="D1" s="15" t="s">
        <v>46</v>
      </c>
    </row>
    <row r="2" spans="1:4" ht="25" customHeight="1" x14ac:dyDescent="0.25">
      <c r="A2" s="14" t="s">
        <v>2</v>
      </c>
      <c r="B2" s="14">
        <v>50</v>
      </c>
      <c r="D2" s="17" t="s">
        <v>80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78</v>
      </c>
      <c r="B4" s="14">
        <v>50</v>
      </c>
      <c r="D4" s="17" t="s">
        <v>48</v>
      </c>
    </row>
    <row r="5" spans="1:4" ht="25" customHeight="1" x14ac:dyDescent="0.25">
      <c r="A5" s="14" t="s">
        <v>79</v>
      </c>
      <c r="B5" s="14">
        <v>1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A0501-B3DD-484A-B669-19EB6AD1EE29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81</v>
      </c>
      <c r="C1" s="15" t="s">
        <v>46</v>
      </c>
    </row>
    <row r="2" spans="1:3" ht="25" customHeight="1" x14ac:dyDescent="0.25">
      <c r="A2" s="14">
        <v>38</v>
      </c>
      <c r="C2" s="17" t="s">
        <v>82</v>
      </c>
    </row>
    <row r="3" spans="1:3" ht="25" customHeight="1" x14ac:dyDescent="0.25">
      <c r="A3" s="14">
        <v>50</v>
      </c>
      <c r="C3" s="16"/>
    </row>
    <row r="4" spans="1:3" ht="25" customHeight="1" x14ac:dyDescent="0.25">
      <c r="A4" s="14">
        <v>60</v>
      </c>
      <c r="C4" s="17" t="s">
        <v>83</v>
      </c>
    </row>
    <row r="5" spans="1:3" ht="25" customHeight="1" x14ac:dyDescent="0.25">
      <c r="A5" s="14">
        <v>70</v>
      </c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F3EB-0FAC-436F-90C6-DEE23E3E1CBC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84</v>
      </c>
      <c r="C1" s="15" t="s">
        <v>46</v>
      </c>
    </row>
    <row r="2" spans="1:3" ht="25" customHeight="1" x14ac:dyDescent="0.25">
      <c r="A2" s="14">
        <v>1.2</v>
      </c>
      <c r="C2" s="17" t="s">
        <v>85</v>
      </c>
    </row>
    <row r="3" spans="1:3" ht="25" customHeight="1" x14ac:dyDescent="0.25">
      <c r="A3" s="14">
        <v>-0.6</v>
      </c>
      <c r="C3" s="16"/>
    </row>
    <row r="4" spans="1:3" ht="25" customHeight="1" x14ac:dyDescent="0.25">
      <c r="A4" s="14">
        <v>0</v>
      </c>
      <c r="C4" s="17" t="s">
        <v>48</v>
      </c>
    </row>
    <row r="5" spans="1:3" x14ac:dyDescent="0.25"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AE74E-57D2-43A4-B6D8-7568045F64DB}">
  <dimension ref="A1:C1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29</v>
      </c>
      <c r="C1" s="15" t="s">
        <v>46</v>
      </c>
    </row>
    <row r="2" spans="1:3" ht="25" customHeight="1" x14ac:dyDescent="0.25">
      <c r="A2" s="14">
        <v>35</v>
      </c>
      <c r="C2" s="17" t="s">
        <v>86</v>
      </c>
    </row>
    <row r="3" spans="1:3" ht="25" customHeight="1" x14ac:dyDescent="0.25">
      <c r="A3" s="14">
        <v>39</v>
      </c>
      <c r="C3" s="16"/>
    </row>
    <row r="4" spans="1:3" ht="25" customHeight="1" x14ac:dyDescent="0.25">
      <c r="A4" s="14">
        <v>42</v>
      </c>
      <c r="C4" s="17" t="s">
        <v>87</v>
      </c>
    </row>
    <row r="5" spans="1:3" ht="25" customHeight="1" x14ac:dyDescent="0.25">
      <c r="A5" s="14">
        <v>45</v>
      </c>
      <c r="C5" s="16"/>
    </row>
    <row r="6" spans="1:3" ht="25" customHeight="1" x14ac:dyDescent="0.25">
      <c r="A6" s="14">
        <v>47</v>
      </c>
      <c r="C6" s="16"/>
    </row>
    <row r="7" spans="1:3" ht="25" customHeight="1" x14ac:dyDescent="0.25">
      <c r="A7" s="14">
        <v>49</v>
      </c>
      <c r="C7" s="16"/>
    </row>
    <row r="8" spans="1:3" ht="25" customHeight="1" x14ac:dyDescent="0.25">
      <c r="A8" s="14">
        <v>51</v>
      </c>
    </row>
    <row r="9" spans="1:3" ht="25" customHeight="1" x14ac:dyDescent="0.25">
      <c r="A9" s="14">
        <v>53</v>
      </c>
    </row>
    <row r="10" spans="1:3" ht="25" customHeight="1" x14ac:dyDescent="0.25">
      <c r="A10" s="14">
        <v>55</v>
      </c>
    </row>
    <row r="11" spans="1:3" ht="25" customHeight="1" x14ac:dyDescent="0.25">
      <c r="A11" s="14">
        <v>58</v>
      </c>
    </row>
    <row r="12" spans="1:3" ht="25" customHeight="1" x14ac:dyDescent="0.25">
      <c r="A12" s="14">
        <v>61</v>
      </c>
    </row>
    <row r="13" spans="1:3" ht="25" customHeight="1" x14ac:dyDescent="0.25">
      <c r="A13" s="14">
        <v>65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EAC4-3ACF-4266-A47F-536DC248CB8C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88</v>
      </c>
      <c r="C1" s="15" t="s">
        <v>46</v>
      </c>
    </row>
    <row r="2" spans="1:3" ht="25" customHeight="1" x14ac:dyDescent="0.25">
      <c r="A2" s="18">
        <v>48.85602655957382</v>
      </c>
      <c r="C2" s="17" t="s">
        <v>89</v>
      </c>
    </row>
    <row r="3" spans="1:3" ht="25" customHeight="1" x14ac:dyDescent="0.25">
      <c r="A3" s="18">
        <v>46.839364304880455</v>
      </c>
      <c r="C3" s="16"/>
    </row>
    <row r="4" spans="1:3" ht="25" customHeight="1" x14ac:dyDescent="0.25">
      <c r="A4" s="18">
        <v>29.327651524791108</v>
      </c>
      <c r="C4" s="17" t="s">
        <v>90</v>
      </c>
    </row>
    <row r="5" spans="1:3" ht="25" customHeight="1" x14ac:dyDescent="0.25">
      <c r="A5" s="18">
        <v>52.872228445571935</v>
      </c>
      <c r="C5" s="16"/>
    </row>
    <row r="6" spans="1:3" ht="25" customHeight="1" x14ac:dyDescent="0.25">
      <c r="A6" s="18">
        <v>43.66797230215824</v>
      </c>
      <c r="C6" s="16"/>
    </row>
    <row r="7" spans="1:3" ht="25" customHeight="1" x14ac:dyDescent="0.25">
      <c r="A7" s="18">
        <v>34.485641358295069</v>
      </c>
      <c r="C7" s="16"/>
    </row>
    <row r="8" spans="1:3" ht="25" customHeight="1" x14ac:dyDescent="0.25">
      <c r="A8" s="18">
        <v>45.335951801294073</v>
      </c>
    </row>
    <row r="9" spans="1:3" ht="25" customHeight="1" x14ac:dyDescent="0.25">
      <c r="A9" s="18">
        <v>57.931231438988789</v>
      </c>
    </row>
    <row r="10" spans="1:3" ht="25" customHeight="1" x14ac:dyDescent="0.25">
      <c r="A10" s="18">
        <v>73.645815079847083</v>
      </c>
    </row>
    <row r="11" spans="1:3" ht="25" customHeight="1" x14ac:dyDescent="0.25">
      <c r="A11" s="18">
        <v>36.790659198448253</v>
      </c>
    </row>
    <row r="12" spans="1:3" ht="25" customHeight="1" x14ac:dyDescent="0.25">
      <c r="A12" s="18">
        <v>60.633297746065026</v>
      </c>
    </row>
    <row r="13" spans="1:3" ht="25" customHeight="1" x14ac:dyDescent="0.25">
      <c r="A13" s="18">
        <v>49.953139935765826</v>
      </c>
    </row>
    <row r="14" spans="1:3" ht="25" customHeight="1" x14ac:dyDescent="0.25">
      <c r="A14" s="18">
        <v>50.779485996595696</v>
      </c>
    </row>
    <row r="15" spans="1:3" ht="25" customHeight="1" x14ac:dyDescent="0.25">
      <c r="A15" s="18">
        <v>65.530800942829472</v>
      </c>
    </row>
    <row r="16" spans="1:3" ht="25" customHeight="1" x14ac:dyDescent="0.25">
      <c r="A16" s="18">
        <v>60.164918633653301</v>
      </c>
    </row>
    <row r="17" spans="1:1" ht="25" customHeight="1" x14ac:dyDescent="0.25">
      <c r="A17" s="18">
        <v>61.754371173718198</v>
      </c>
    </row>
    <row r="18" spans="1:1" ht="25" customHeight="1" x14ac:dyDescent="0.25">
      <c r="A18" s="18">
        <v>44.577442485984605</v>
      </c>
    </row>
    <row r="19" spans="1:1" ht="25" customHeight="1" x14ac:dyDescent="0.25">
      <c r="A19" s="18">
        <v>49.551019429591818</v>
      </c>
    </row>
    <row r="20" spans="1:1" ht="25" customHeight="1" x14ac:dyDescent="0.25">
      <c r="A20" s="18">
        <v>41.993588583607043</v>
      </c>
    </row>
    <row r="21" spans="1:1" ht="25" customHeight="1" x14ac:dyDescent="0.25">
      <c r="A21" s="18">
        <v>63.984391016308365</v>
      </c>
    </row>
    <row r="22" spans="1:1" ht="25" customHeight="1" x14ac:dyDescent="0.25">
      <c r="A22" s="18">
        <v>48.310311875182087</v>
      </c>
    </row>
    <row r="23" spans="1:1" ht="25" customHeight="1" x14ac:dyDescent="0.25">
      <c r="A23" s="18">
        <v>44.527688866082066</v>
      </c>
    </row>
    <row r="24" spans="1:1" ht="25" customHeight="1" x14ac:dyDescent="0.25">
      <c r="A24" s="18">
        <v>59.414935702480037</v>
      </c>
    </row>
    <row r="25" spans="1:1" ht="25" customHeight="1" x14ac:dyDescent="0.25">
      <c r="A25" s="18">
        <v>49.802831212210222</v>
      </c>
    </row>
    <row r="26" spans="1:1" ht="25" customHeight="1" x14ac:dyDescent="0.25">
      <c r="A26" s="18">
        <v>33.994100406532567</v>
      </c>
    </row>
    <row r="27" spans="1:1" ht="25" customHeight="1" x14ac:dyDescent="0.25">
      <c r="A27" s="18">
        <v>40.032562575854747</v>
      </c>
    </row>
    <row r="28" spans="1:1" ht="25" customHeight="1" x14ac:dyDescent="0.25">
      <c r="A28" s="18">
        <v>33.390443124033801</v>
      </c>
    </row>
    <row r="29" spans="1:1" ht="25" customHeight="1" x14ac:dyDescent="0.25">
      <c r="A29" s="18">
        <v>57.714430934046831</v>
      </c>
    </row>
    <row r="30" spans="1:1" ht="25" customHeight="1" x14ac:dyDescent="0.25">
      <c r="A30" s="18">
        <v>42.293809875655597</v>
      </c>
    </row>
    <row r="31" spans="1:1" ht="25" customHeight="1" x14ac:dyDescent="0.25">
      <c r="A31" s="18">
        <v>48.141142649359402</v>
      </c>
    </row>
    <row r="32" spans="1:1" ht="25" customHeight="1" x14ac:dyDescent="0.25">
      <c r="A32" s="18">
        <v>50.142776474036509</v>
      </c>
    </row>
    <row r="33" spans="1:1" ht="25" customHeight="1" x14ac:dyDescent="0.25">
      <c r="A33" s="18">
        <v>39.878822474858119</v>
      </c>
    </row>
    <row r="34" spans="1:1" ht="25" customHeight="1" x14ac:dyDescent="0.25">
      <c r="A34" s="18">
        <v>58.482898079282862</v>
      </c>
    </row>
    <row r="35" spans="1:1" ht="25" customHeight="1" x14ac:dyDescent="0.25">
      <c r="A35" s="18">
        <v>60.462869251118072</v>
      </c>
    </row>
    <row r="36" spans="1:1" ht="25" customHeight="1" x14ac:dyDescent="0.25">
      <c r="A36" s="18">
        <v>42.867747678169067</v>
      </c>
    </row>
    <row r="37" spans="1:1" ht="25" customHeight="1" x14ac:dyDescent="0.25">
      <c r="A37" s="18">
        <v>59.300964609143207</v>
      </c>
    </row>
    <row r="38" spans="1:1" ht="25" customHeight="1" x14ac:dyDescent="0.25">
      <c r="A38" s="18">
        <v>41.662759212547883</v>
      </c>
    </row>
    <row r="39" spans="1:1" ht="25" customHeight="1" x14ac:dyDescent="0.25">
      <c r="A39" s="18">
        <v>59.760074882925849</v>
      </c>
    </row>
    <row r="40" spans="1:1" ht="25" customHeight="1" x14ac:dyDescent="0.25">
      <c r="A40" s="18">
        <v>59.574101755909574</v>
      </c>
    </row>
    <row r="41" spans="1:1" ht="25" customHeight="1" x14ac:dyDescent="0.25">
      <c r="A41" s="18">
        <v>49.523339023247992</v>
      </c>
    </row>
    <row r="42" spans="1:1" ht="25" customHeight="1" x14ac:dyDescent="0.25">
      <c r="A42" s="18">
        <v>37.834035236208052</v>
      </c>
    </row>
    <row r="43" spans="1:1" ht="25" customHeight="1" x14ac:dyDescent="0.25">
      <c r="A43" s="18">
        <v>46.41771648534035</v>
      </c>
    </row>
    <row r="44" spans="1:1" ht="25" customHeight="1" x14ac:dyDescent="0.25">
      <c r="A44" s="18">
        <v>36.983072480767042</v>
      </c>
    </row>
    <row r="45" spans="1:1" ht="25" customHeight="1" x14ac:dyDescent="0.25">
      <c r="A45" s="18">
        <v>54.280198905821017</v>
      </c>
    </row>
    <row r="46" spans="1:1" ht="25" customHeight="1" x14ac:dyDescent="0.25">
      <c r="A46" s="18">
        <v>37.035225004798946</v>
      </c>
    </row>
    <row r="47" spans="1:1" ht="25" customHeight="1" x14ac:dyDescent="0.25">
      <c r="A47" s="18">
        <v>52.737564164618441</v>
      </c>
    </row>
    <row r="48" spans="1:1" ht="25" customHeight="1" x14ac:dyDescent="0.25">
      <c r="A48" s="18">
        <v>46.950070180219853</v>
      </c>
    </row>
    <row r="49" spans="1:1" ht="25" customHeight="1" x14ac:dyDescent="0.25">
      <c r="A49" s="18">
        <v>69.081091085624621</v>
      </c>
    </row>
    <row r="50" spans="1:1" ht="25" customHeight="1" x14ac:dyDescent="0.25">
      <c r="A50" s="18">
        <v>46.412740836321923</v>
      </c>
    </row>
    <row r="51" spans="1:1" ht="25" customHeight="1" x14ac:dyDescent="0.25">
      <c r="A51" s="18">
        <v>49.393557819346448</v>
      </c>
    </row>
    <row r="52" spans="1:1" ht="25" customHeight="1" x14ac:dyDescent="0.25">
      <c r="A52" s="18">
        <v>55.395990431852944</v>
      </c>
    </row>
    <row r="53" spans="1:1" ht="25" customHeight="1" x14ac:dyDescent="0.25">
      <c r="A53" s="18">
        <v>53.654328011244573</v>
      </c>
    </row>
    <row r="54" spans="1:1" ht="25" customHeight="1" x14ac:dyDescent="0.25">
      <c r="A54" s="18">
        <v>46.816634564924215</v>
      </c>
    </row>
    <row r="55" spans="1:1" ht="25" customHeight="1" x14ac:dyDescent="0.25">
      <c r="A55" s="18">
        <v>43.709912914779309</v>
      </c>
    </row>
    <row r="56" spans="1:1" ht="25" customHeight="1" x14ac:dyDescent="0.25">
      <c r="A56" s="18">
        <v>43.000627703259845</v>
      </c>
    </row>
    <row r="57" spans="1:1" ht="25" customHeight="1" x14ac:dyDescent="0.25">
      <c r="A57" s="18">
        <v>38.539160700178265</v>
      </c>
    </row>
    <row r="58" spans="1:1" ht="25" customHeight="1" x14ac:dyDescent="0.25">
      <c r="A58" s="18">
        <v>51.752856677065076</v>
      </c>
    </row>
    <row r="59" spans="1:1" ht="25" customHeight="1" x14ac:dyDescent="0.25">
      <c r="A59" s="18">
        <v>54.508636923006378</v>
      </c>
    </row>
    <row r="60" spans="1:1" ht="25" customHeight="1" x14ac:dyDescent="0.25">
      <c r="A60" s="18">
        <v>40.192091375420389</v>
      </c>
    </row>
    <row r="61" spans="1:1" ht="25" customHeight="1" x14ac:dyDescent="0.25">
      <c r="A61" s="18">
        <v>39.485906461018509</v>
      </c>
    </row>
    <row r="62" spans="1:1" ht="25" customHeight="1" x14ac:dyDescent="0.25">
      <c r="A62" s="18">
        <v>56.937369572097801</v>
      </c>
    </row>
    <row r="63" spans="1:1" ht="25" customHeight="1" x14ac:dyDescent="0.25">
      <c r="A63" s="18">
        <v>49.233452734569866</v>
      </c>
    </row>
    <row r="64" spans="1:1" ht="25" customHeight="1" x14ac:dyDescent="0.25">
      <c r="A64" s="18">
        <v>37.369901795678075</v>
      </c>
    </row>
    <row r="65" spans="1:1" ht="25" customHeight="1" x14ac:dyDescent="0.25">
      <c r="A65" s="18">
        <v>37.215620558245739</v>
      </c>
    </row>
    <row r="66" spans="1:1" ht="25" customHeight="1" x14ac:dyDescent="0.25">
      <c r="A66" s="18">
        <v>56.194832296275479</v>
      </c>
    </row>
    <row r="67" spans="1:1" ht="25" customHeight="1" x14ac:dyDescent="0.25">
      <c r="A67" s="18">
        <v>45.930398057771058</v>
      </c>
    </row>
    <row r="68" spans="1:1" ht="25" customHeight="1" x14ac:dyDescent="0.25">
      <c r="A68" s="18">
        <v>34.804617767642014</v>
      </c>
    </row>
    <row r="69" spans="1:1" ht="25" customHeight="1" x14ac:dyDescent="0.25">
      <c r="A69" s="18">
        <v>46.152415724374336</v>
      </c>
    </row>
    <row r="70" spans="1:1" ht="25" customHeight="1" x14ac:dyDescent="0.25">
      <c r="A70" s="18">
        <v>46.591154083937894</v>
      </c>
    </row>
    <row r="71" spans="1:1" ht="25" customHeight="1" x14ac:dyDescent="0.25">
      <c r="A71" s="18">
        <v>61.859591041516673</v>
      </c>
    </row>
    <row r="72" spans="1:1" ht="25" customHeight="1" x14ac:dyDescent="0.25">
      <c r="A72" s="18">
        <v>61.246918279723097</v>
      </c>
    </row>
    <row r="73" spans="1:1" ht="25" customHeight="1" x14ac:dyDescent="0.25">
      <c r="A73" s="18">
        <v>43.323629776335913</v>
      </c>
    </row>
    <row r="74" spans="1:1" ht="25" customHeight="1" x14ac:dyDescent="0.25">
      <c r="A74" s="18">
        <v>59.744644956386963</v>
      </c>
    </row>
    <row r="75" spans="1:1" ht="25" customHeight="1" x14ac:dyDescent="0.25">
      <c r="A75" s="18">
        <v>65.23826650763894</v>
      </c>
    </row>
    <row r="76" spans="1:1" ht="25" customHeight="1" x14ac:dyDescent="0.25">
      <c r="A76" s="18">
        <v>34.604384632836016</v>
      </c>
    </row>
    <row r="77" spans="1:1" ht="25" customHeight="1" x14ac:dyDescent="0.25">
      <c r="A77" s="18">
        <v>40.947603679490442</v>
      </c>
    </row>
    <row r="78" spans="1:1" ht="25" customHeight="1" x14ac:dyDescent="0.25">
      <c r="A78" s="18">
        <v>45.304021468750101</v>
      </c>
    </row>
    <row r="79" spans="1:1" ht="25" customHeight="1" x14ac:dyDescent="0.25">
      <c r="A79" s="18">
        <v>53.843439944508297</v>
      </c>
    </row>
    <row r="80" spans="1:1" ht="25" customHeight="1" x14ac:dyDescent="0.25">
      <c r="A80" s="18">
        <v>52.740879757534955</v>
      </c>
    </row>
    <row r="81" spans="1:1" ht="25" customHeight="1" x14ac:dyDescent="0.25">
      <c r="A81" s="18">
        <v>28.105265642590773</v>
      </c>
    </row>
    <row r="82" spans="1:1" ht="25" customHeight="1" x14ac:dyDescent="0.25">
      <c r="A82" s="18">
        <v>45.571114810569938</v>
      </c>
    </row>
    <row r="83" spans="1:1" ht="25" customHeight="1" x14ac:dyDescent="0.25">
      <c r="A83" s="18">
        <v>53.203616542744832</v>
      </c>
    </row>
    <row r="84" spans="1:1" ht="25" customHeight="1" x14ac:dyDescent="0.25">
      <c r="A84" s="18">
        <v>60.593909023906214</v>
      </c>
    </row>
    <row r="85" spans="1:1" ht="25" customHeight="1" x14ac:dyDescent="0.25">
      <c r="A85" s="18">
        <v>57.60119104117085</v>
      </c>
    </row>
    <row r="86" spans="1:1" ht="25" customHeight="1" x14ac:dyDescent="0.25">
      <c r="A86" s="18">
        <v>44.13690372359622</v>
      </c>
    </row>
    <row r="87" spans="1:1" ht="25" customHeight="1" x14ac:dyDescent="0.25">
      <c r="A87" s="18">
        <v>36.788768113119197</v>
      </c>
    </row>
    <row r="88" spans="1:1" ht="25" customHeight="1" x14ac:dyDescent="0.25">
      <c r="A88" s="18">
        <v>61.783788225442834</v>
      </c>
    </row>
    <row r="89" spans="1:1" ht="25" customHeight="1" x14ac:dyDescent="0.25">
      <c r="A89" s="18">
        <v>39.29506336887534</v>
      </c>
    </row>
    <row r="90" spans="1:1" ht="25" customHeight="1" x14ac:dyDescent="0.25">
      <c r="A90" s="18">
        <v>45.66521280676416</v>
      </c>
    </row>
    <row r="91" spans="1:1" ht="25" customHeight="1" x14ac:dyDescent="0.25">
      <c r="A91" s="18">
        <v>45.957749168843776</v>
      </c>
    </row>
    <row r="92" spans="1:1" ht="25" customHeight="1" x14ac:dyDescent="0.25">
      <c r="A92" s="18">
        <v>45.699709604273082</v>
      </c>
    </row>
    <row r="93" spans="1:1" ht="25" customHeight="1" x14ac:dyDescent="0.25">
      <c r="A93" s="18">
        <v>43.497934881124671</v>
      </c>
    </row>
    <row r="94" spans="1:1" ht="25" customHeight="1" x14ac:dyDescent="0.25">
      <c r="A94" s="18">
        <v>53.332077289124832</v>
      </c>
    </row>
    <row r="95" spans="1:1" ht="25" customHeight="1" x14ac:dyDescent="0.25">
      <c r="A95" s="18">
        <v>67.28988187628606</v>
      </c>
    </row>
    <row r="96" spans="1:1" ht="25" customHeight="1" x14ac:dyDescent="0.25">
      <c r="A96" s="18">
        <v>45.456010305269949</v>
      </c>
    </row>
    <row r="97" spans="1:1" ht="25" customHeight="1" x14ac:dyDescent="0.25">
      <c r="A97" s="18">
        <v>49.534855487471489</v>
      </c>
    </row>
    <row r="98" spans="1:1" ht="25" customHeight="1" x14ac:dyDescent="0.25">
      <c r="A98" s="18">
        <v>52.059508780425801</v>
      </c>
    </row>
    <row r="99" spans="1:1" ht="25" customHeight="1" x14ac:dyDescent="0.25">
      <c r="A99" s="18">
        <v>48.068737172084461</v>
      </c>
    </row>
    <row r="100" spans="1:1" ht="25" customHeight="1" x14ac:dyDescent="0.25">
      <c r="A100" s="18">
        <v>64.725972215108769</v>
      </c>
    </row>
    <row r="101" spans="1:1" ht="25" customHeight="1" x14ac:dyDescent="0.25">
      <c r="A101" s="18">
        <v>61.560182292331547</v>
      </c>
    </row>
    <row r="102" spans="1:1" ht="25" customHeight="1" x14ac:dyDescent="0.25">
      <c r="A102" s="18">
        <v>50.229310447645041</v>
      </c>
    </row>
    <row r="103" spans="1:1" ht="25" customHeight="1" x14ac:dyDescent="0.25">
      <c r="A103" s="18">
        <v>25.430709780447991</v>
      </c>
    </row>
    <row r="104" spans="1:1" ht="25" customHeight="1" x14ac:dyDescent="0.25">
      <c r="A104" s="18">
        <v>63.388687440098877</v>
      </c>
    </row>
    <row r="105" spans="1:1" ht="25" customHeight="1" x14ac:dyDescent="0.25">
      <c r="A105" s="18">
        <v>46.780270853362268</v>
      </c>
    </row>
    <row r="106" spans="1:1" ht="25" customHeight="1" x14ac:dyDescent="0.25">
      <c r="A106" s="18">
        <v>36.534135800854969</v>
      </c>
    </row>
    <row r="107" spans="1:1" ht="25" customHeight="1" x14ac:dyDescent="0.25">
      <c r="A107" s="18">
        <v>42.238045619455782</v>
      </c>
    </row>
    <row r="108" spans="1:1" ht="25" customHeight="1" x14ac:dyDescent="0.25">
      <c r="A108" s="18">
        <v>49.413626080812918</v>
      </c>
    </row>
    <row r="109" spans="1:1" ht="25" customHeight="1" x14ac:dyDescent="0.25">
      <c r="A109" s="18">
        <v>48.771498146772707</v>
      </c>
    </row>
    <row r="110" spans="1:1" ht="25" customHeight="1" x14ac:dyDescent="0.25">
      <c r="A110" s="18">
        <v>51.397818335362309</v>
      </c>
    </row>
    <row r="111" spans="1:1" ht="25" customHeight="1" x14ac:dyDescent="0.25">
      <c r="A111" s="18">
        <v>60.361029134649513</v>
      </c>
    </row>
    <row r="112" spans="1:1" ht="25" customHeight="1" x14ac:dyDescent="0.25">
      <c r="A112" s="18">
        <v>60.316299946003681</v>
      </c>
    </row>
    <row r="113" spans="1:1" ht="25" customHeight="1" x14ac:dyDescent="0.25">
      <c r="A113" s="18">
        <v>53.128705788464941</v>
      </c>
    </row>
    <row r="114" spans="1:1" ht="25" customHeight="1" x14ac:dyDescent="0.25">
      <c r="A114" s="18">
        <v>64.946012690105391</v>
      </c>
    </row>
    <row r="115" spans="1:1" ht="25" customHeight="1" x14ac:dyDescent="0.25">
      <c r="A115" s="18">
        <v>65.570472734143124</v>
      </c>
    </row>
    <row r="116" spans="1:1" ht="25" customHeight="1" x14ac:dyDescent="0.25">
      <c r="A116" s="18">
        <v>60.988139986738474</v>
      </c>
    </row>
    <row r="117" spans="1:1" ht="25" customHeight="1" x14ac:dyDescent="0.25">
      <c r="A117" s="18">
        <v>65.386298755475039</v>
      </c>
    </row>
    <row r="118" spans="1:1" ht="25" customHeight="1" x14ac:dyDescent="0.25">
      <c r="A118" s="18">
        <v>51.986848954165737</v>
      </c>
    </row>
    <row r="119" spans="1:1" ht="25" customHeight="1" x14ac:dyDescent="0.25">
      <c r="A119" s="18">
        <v>49.0209671102984</v>
      </c>
    </row>
    <row r="120" spans="1:1" ht="25" customHeight="1" x14ac:dyDescent="0.25">
      <c r="A120" s="18">
        <v>60.864267940241319</v>
      </c>
    </row>
    <row r="121" spans="1:1" ht="25" customHeight="1" x14ac:dyDescent="0.25">
      <c r="A121" s="18">
        <v>40.421905271601595</v>
      </c>
    </row>
    <row r="122" spans="1:1" ht="25" customHeight="1" x14ac:dyDescent="0.25">
      <c r="A122" s="18">
        <v>32.302503424262298</v>
      </c>
    </row>
    <row r="123" spans="1:1" ht="25" customHeight="1" x14ac:dyDescent="0.25">
      <c r="A123" s="18">
        <v>31.264923499047999</v>
      </c>
    </row>
    <row r="124" spans="1:1" ht="25" customHeight="1" x14ac:dyDescent="0.25">
      <c r="A124" s="18">
        <v>74.569808674876398</v>
      </c>
    </row>
    <row r="125" spans="1:1" ht="25" customHeight="1" x14ac:dyDescent="0.25">
      <c r="A125" s="18">
        <v>37.007746347085309</v>
      </c>
    </row>
    <row r="126" spans="1:1" ht="25" customHeight="1" x14ac:dyDescent="0.25">
      <c r="A126" s="18">
        <v>48.342581739261632</v>
      </c>
    </row>
    <row r="127" spans="1:1" ht="25" customHeight="1" x14ac:dyDescent="0.25">
      <c r="A127" s="18">
        <v>36.704860301550589</v>
      </c>
    </row>
    <row r="128" spans="1:1" ht="25" customHeight="1" x14ac:dyDescent="0.25">
      <c r="A128" s="18">
        <v>64.005227930034394</v>
      </c>
    </row>
    <row r="129" spans="1:1" ht="25" customHeight="1" x14ac:dyDescent="0.25">
      <c r="A129" s="18">
        <v>51.115247787119728</v>
      </c>
    </row>
    <row r="130" spans="1:1" ht="25" customHeight="1" x14ac:dyDescent="0.25">
      <c r="A130" s="18">
        <v>66.977173845334235</v>
      </c>
    </row>
    <row r="131" spans="1:1" ht="25" customHeight="1" x14ac:dyDescent="0.25">
      <c r="A131" s="18">
        <v>59.204872664136033</v>
      </c>
    </row>
    <row r="132" spans="1:1" ht="25" customHeight="1" x14ac:dyDescent="0.25">
      <c r="A132" s="18">
        <v>45.847192248604749</v>
      </c>
    </row>
    <row r="133" spans="1:1" ht="25" customHeight="1" x14ac:dyDescent="0.25">
      <c r="A133" s="18">
        <v>39.206399006598417</v>
      </c>
    </row>
    <row r="134" spans="1:1" ht="25" customHeight="1" x14ac:dyDescent="0.25">
      <c r="A134" s="18">
        <v>38.80995021909321</v>
      </c>
    </row>
    <row r="135" spans="1:1" ht="25" customHeight="1" x14ac:dyDescent="0.25">
      <c r="A135" s="18">
        <v>45.361422367684931</v>
      </c>
    </row>
    <row r="136" spans="1:1" ht="25" customHeight="1" x14ac:dyDescent="0.25">
      <c r="A136" s="18">
        <v>42.219853681397353</v>
      </c>
    </row>
    <row r="137" spans="1:1" ht="25" customHeight="1" x14ac:dyDescent="0.25">
      <c r="A137" s="18">
        <v>51.354421515370717</v>
      </c>
    </row>
    <row r="138" spans="1:1" ht="25" customHeight="1" x14ac:dyDescent="0.25">
      <c r="A138" s="18">
        <v>57.526566372503332</v>
      </c>
    </row>
    <row r="139" spans="1:1" ht="25" customHeight="1" x14ac:dyDescent="0.25">
      <c r="A139" s="18">
        <v>39.570231804106143</v>
      </c>
    </row>
    <row r="140" spans="1:1" ht="25" customHeight="1" x14ac:dyDescent="0.25">
      <c r="A140" s="18">
        <v>56.324175281924994</v>
      </c>
    </row>
    <row r="141" spans="1:1" ht="25" customHeight="1" x14ac:dyDescent="0.25">
      <c r="A141" s="18">
        <v>74.243524608603622</v>
      </c>
    </row>
    <row r="142" spans="1:1" ht="25" customHeight="1" x14ac:dyDescent="0.25">
      <c r="A142" s="18">
        <v>51.118783278780072</v>
      </c>
    </row>
    <row r="143" spans="1:1" ht="25" customHeight="1" x14ac:dyDescent="0.25">
      <c r="A143" s="18">
        <v>44.592454438244189</v>
      </c>
    </row>
    <row r="144" spans="1:1" ht="25" customHeight="1" x14ac:dyDescent="0.25">
      <c r="A144" s="18">
        <v>50.68033529070587</v>
      </c>
    </row>
    <row r="145" spans="1:1" ht="25" customHeight="1" x14ac:dyDescent="0.25">
      <c r="A145" s="18">
        <v>40.548883654616702</v>
      </c>
    </row>
    <row r="146" spans="1:1" ht="25" customHeight="1" x14ac:dyDescent="0.25">
      <c r="A146" s="18">
        <v>57.476971275714739</v>
      </c>
    </row>
    <row r="147" spans="1:1" ht="25" customHeight="1" x14ac:dyDescent="0.25">
      <c r="A147" s="18">
        <v>59.646654826703212</v>
      </c>
    </row>
    <row r="148" spans="1:1" ht="25" customHeight="1" x14ac:dyDescent="0.25">
      <c r="A148" s="18">
        <v>39.385049402123293</v>
      </c>
    </row>
    <row r="149" spans="1:1" ht="25" customHeight="1" x14ac:dyDescent="0.25">
      <c r="A149" s="18">
        <v>40.266263696649418</v>
      </c>
    </row>
    <row r="150" spans="1:1" ht="25" customHeight="1" x14ac:dyDescent="0.25">
      <c r="A150" s="18">
        <v>34.153591938930738</v>
      </c>
    </row>
    <row r="151" spans="1:1" ht="25" customHeight="1" x14ac:dyDescent="0.25">
      <c r="A151" s="18">
        <v>42.960134885386921</v>
      </c>
    </row>
    <row r="152" spans="1:1" ht="25" customHeight="1" x14ac:dyDescent="0.25">
      <c r="A152" s="18">
        <v>49.190582206830669</v>
      </c>
    </row>
    <row r="153" spans="1:1" ht="25" customHeight="1" x14ac:dyDescent="0.25">
      <c r="A153" s="18">
        <v>44.393858749102854</v>
      </c>
    </row>
    <row r="154" spans="1:1" ht="25" customHeight="1" x14ac:dyDescent="0.25">
      <c r="A154" s="18">
        <v>40.822207618158913</v>
      </c>
    </row>
    <row r="155" spans="1:1" ht="25" customHeight="1" x14ac:dyDescent="0.25">
      <c r="A155" s="18">
        <v>58.387185978863286</v>
      </c>
    </row>
    <row r="156" spans="1:1" ht="25" customHeight="1" x14ac:dyDescent="0.25">
      <c r="A156" s="18">
        <v>43.940164537228007</v>
      </c>
    </row>
    <row r="157" spans="1:1" ht="25" customHeight="1" x14ac:dyDescent="0.25">
      <c r="A157" s="18">
        <v>45.13621953383872</v>
      </c>
    </row>
    <row r="158" spans="1:1" ht="25" customHeight="1" x14ac:dyDescent="0.25">
      <c r="A158" s="18">
        <v>44.160885732541971</v>
      </c>
    </row>
    <row r="159" spans="1:1" ht="25" customHeight="1" x14ac:dyDescent="0.25">
      <c r="A159" s="18">
        <v>60.338816362286423</v>
      </c>
    </row>
    <row r="160" spans="1:1" ht="25" customHeight="1" x14ac:dyDescent="0.25">
      <c r="A160" s="18">
        <v>38.336269962468833</v>
      </c>
    </row>
    <row r="161" spans="1:1" ht="25" customHeight="1" x14ac:dyDescent="0.25">
      <c r="A161" s="18">
        <v>44.699578744420954</v>
      </c>
    </row>
    <row r="162" spans="1:1" ht="25" customHeight="1" x14ac:dyDescent="0.25">
      <c r="A162" s="18">
        <v>60.750841970820169</v>
      </c>
    </row>
    <row r="163" spans="1:1" ht="25" customHeight="1" x14ac:dyDescent="0.25">
      <c r="A163" s="18">
        <v>42.217990251135319</v>
      </c>
    </row>
    <row r="164" spans="1:1" ht="25" customHeight="1" x14ac:dyDescent="0.25">
      <c r="A164" s="18">
        <v>49.464529408381253</v>
      </c>
    </row>
    <row r="165" spans="1:1" ht="25" customHeight="1" x14ac:dyDescent="0.25">
      <c r="A165" s="18">
        <v>26.326737268137705</v>
      </c>
    </row>
    <row r="166" spans="1:1" ht="25" customHeight="1" x14ac:dyDescent="0.25">
      <c r="A166" s="18">
        <v>73.77697973777353</v>
      </c>
    </row>
    <row r="167" spans="1:1" ht="25" customHeight="1" x14ac:dyDescent="0.25">
      <c r="A167" s="18">
        <v>56.985227664501572</v>
      </c>
    </row>
    <row r="168" spans="1:1" ht="25" customHeight="1" x14ac:dyDescent="0.25">
      <c r="A168" s="18">
        <v>47.037125543672232</v>
      </c>
    </row>
    <row r="169" spans="1:1" ht="25" customHeight="1" x14ac:dyDescent="0.25">
      <c r="A169" s="18">
        <v>47.932432716228782</v>
      </c>
    </row>
    <row r="170" spans="1:1" ht="25" customHeight="1" x14ac:dyDescent="0.25">
      <c r="A170" s="18">
        <v>52.15744464937837</v>
      </c>
    </row>
    <row r="171" spans="1:1" ht="25" customHeight="1" x14ac:dyDescent="0.25">
      <c r="A171" s="18">
        <v>41.820146217412486</v>
      </c>
    </row>
    <row r="172" spans="1:1" ht="25" customHeight="1" x14ac:dyDescent="0.25">
      <c r="A172" s="18">
        <v>55.253686322740066</v>
      </c>
    </row>
    <row r="173" spans="1:1" ht="25" customHeight="1" x14ac:dyDescent="0.25">
      <c r="A173" s="18">
        <v>37.827325971507683</v>
      </c>
    </row>
    <row r="174" spans="1:1" ht="25" customHeight="1" x14ac:dyDescent="0.25">
      <c r="A174" s="18">
        <v>53.738822247743855</v>
      </c>
    </row>
    <row r="175" spans="1:1" ht="25" customHeight="1" x14ac:dyDescent="0.25">
      <c r="A175" s="18">
        <v>38.077037991019182</v>
      </c>
    </row>
    <row r="176" spans="1:1" ht="25" customHeight="1" x14ac:dyDescent="0.25">
      <c r="A176" s="18">
        <v>44.864807447460798</v>
      </c>
    </row>
    <row r="177" spans="1:1" ht="25" customHeight="1" x14ac:dyDescent="0.25">
      <c r="A177" s="18">
        <v>31.838565931149638</v>
      </c>
    </row>
    <row r="178" spans="1:1" ht="25" customHeight="1" x14ac:dyDescent="0.25">
      <c r="A178" s="18">
        <v>58.7185829174284</v>
      </c>
    </row>
    <row r="179" spans="1:1" ht="25" customHeight="1" x14ac:dyDescent="0.25">
      <c r="A179" s="18">
        <v>63.885943414368768</v>
      </c>
    </row>
    <row r="180" spans="1:1" ht="25" customHeight="1" x14ac:dyDescent="0.25">
      <c r="A180" s="18">
        <v>61.791327667336972</v>
      </c>
    </row>
    <row r="181" spans="1:1" ht="25" customHeight="1" x14ac:dyDescent="0.25">
      <c r="A181" s="18">
        <v>47.525722878995069</v>
      </c>
    </row>
    <row r="182" spans="1:1" ht="25" customHeight="1" x14ac:dyDescent="0.25">
      <c r="A182" s="18">
        <v>55.082461309605769</v>
      </c>
    </row>
    <row r="183" spans="1:1" ht="25" customHeight="1" x14ac:dyDescent="0.25">
      <c r="A183" s="18">
        <v>46.218250574281711</v>
      </c>
    </row>
    <row r="184" spans="1:1" ht="25" customHeight="1" x14ac:dyDescent="0.25">
      <c r="A184" s="18">
        <v>62.506367232129122</v>
      </c>
    </row>
    <row r="185" spans="1:1" ht="25" customHeight="1" x14ac:dyDescent="0.25">
      <c r="A185" s="18">
        <v>55.902376601600771</v>
      </c>
    </row>
    <row r="186" spans="1:1" ht="25" customHeight="1" x14ac:dyDescent="0.25">
      <c r="A186" s="18">
        <v>47.865588238340798</v>
      </c>
    </row>
    <row r="187" spans="1:1" ht="25" customHeight="1" x14ac:dyDescent="0.25">
      <c r="A187" s="18">
        <v>62.486024787688606</v>
      </c>
    </row>
    <row r="188" spans="1:1" ht="25" customHeight="1" x14ac:dyDescent="0.25">
      <c r="A188" s="18">
        <v>52.982428252352712</v>
      </c>
    </row>
    <row r="189" spans="1:1" ht="25" customHeight="1" x14ac:dyDescent="0.25">
      <c r="A189" s="18">
        <v>56.184283627515811</v>
      </c>
    </row>
    <row r="190" spans="1:1" ht="25" customHeight="1" x14ac:dyDescent="0.25">
      <c r="A190" s="18">
        <v>42.664715090276019</v>
      </c>
    </row>
    <row r="191" spans="1:1" ht="25" customHeight="1" x14ac:dyDescent="0.25">
      <c r="A191" s="18">
        <v>43.631634432761146</v>
      </c>
    </row>
    <row r="192" spans="1:1" ht="25" customHeight="1" x14ac:dyDescent="0.25">
      <c r="A192" s="18">
        <v>44.453961848924557</v>
      </c>
    </row>
    <row r="193" spans="1:1" ht="25" customHeight="1" x14ac:dyDescent="0.25">
      <c r="A193" s="18">
        <v>53.766982817623031</v>
      </c>
    </row>
    <row r="194" spans="1:1" ht="25" customHeight="1" x14ac:dyDescent="0.25">
      <c r="A194" s="18">
        <v>64.466716918938147</v>
      </c>
    </row>
    <row r="195" spans="1:1" ht="25" customHeight="1" x14ac:dyDescent="0.25">
      <c r="A195" s="18">
        <v>68.023243003280058</v>
      </c>
    </row>
    <row r="196" spans="1:1" ht="25" customHeight="1" x14ac:dyDescent="0.25">
      <c r="A196" s="18">
        <v>47.725956201885985</v>
      </c>
    </row>
    <row r="197" spans="1:1" ht="25" customHeight="1" x14ac:dyDescent="0.25">
      <c r="A197" s="18">
        <v>41.133352827241282</v>
      </c>
    </row>
    <row r="198" spans="1:1" ht="25" customHeight="1" x14ac:dyDescent="0.25">
      <c r="A198" s="18">
        <v>45.149796321819835</v>
      </c>
    </row>
    <row r="199" spans="1:1" ht="25" customHeight="1" x14ac:dyDescent="0.25">
      <c r="A199" s="18">
        <v>54.39814422263963</v>
      </c>
    </row>
    <row r="200" spans="1:1" ht="25" customHeight="1" x14ac:dyDescent="0.25">
      <c r="A200" s="18">
        <v>38.820045797836187</v>
      </c>
    </row>
    <row r="201" spans="1:1" ht="25" customHeight="1" x14ac:dyDescent="0.25">
      <c r="A201" s="18">
        <v>55.337898635839188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78D65-9D37-474D-8F96-367C6AB89E87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88</v>
      </c>
      <c r="C1" s="15" t="s">
        <v>46</v>
      </c>
    </row>
    <row r="2" spans="1:3" ht="25" customHeight="1" x14ac:dyDescent="0.25">
      <c r="A2" s="18">
        <v>66.073597304495223</v>
      </c>
      <c r="C2" s="17" t="s">
        <v>89</v>
      </c>
    </row>
    <row r="3" spans="1:3" ht="25" customHeight="1" x14ac:dyDescent="0.25">
      <c r="A3" s="18">
        <v>38.89004377881065</v>
      </c>
      <c r="C3" s="16"/>
    </row>
    <row r="4" spans="1:3" ht="25" customHeight="1" x14ac:dyDescent="0.25">
      <c r="A4" s="18">
        <v>80.020527650875579</v>
      </c>
      <c r="C4" s="17" t="s">
        <v>90</v>
      </c>
    </row>
    <row r="5" spans="1:3" ht="25" customHeight="1" x14ac:dyDescent="0.25">
      <c r="A5" s="18">
        <v>31.090159951709211</v>
      </c>
      <c r="C5" s="16"/>
    </row>
    <row r="6" spans="1:3" ht="25" customHeight="1" x14ac:dyDescent="0.25">
      <c r="A6" s="18">
        <v>47.040123384529949</v>
      </c>
      <c r="C6" s="16"/>
    </row>
    <row r="7" spans="1:3" ht="25" customHeight="1" x14ac:dyDescent="0.25">
      <c r="A7" s="18">
        <v>30.605094073243531</v>
      </c>
      <c r="C7" s="16"/>
    </row>
    <row r="8" spans="1:3" ht="25" customHeight="1" x14ac:dyDescent="0.25">
      <c r="A8" s="18">
        <v>32.889411058599826</v>
      </c>
    </row>
    <row r="9" spans="1:3" ht="25" customHeight="1" x14ac:dyDescent="0.25">
      <c r="A9" s="18">
        <v>49.270290531519237</v>
      </c>
    </row>
    <row r="10" spans="1:3" ht="25" customHeight="1" x14ac:dyDescent="0.25">
      <c r="A10" s="18">
        <v>60.680770826197033</v>
      </c>
    </row>
    <row r="11" spans="1:3" ht="25" customHeight="1" x14ac:dyDescent="0.25">
      <c r="A11" s="18">
        <v>40.189021148253232</v>
      </c>
    </row>
    <row r="12" spans="1:3" ht="25" customHeight="1" x14ac:dyDescent="0.25">
      <c r="A12" s="18">
        <v>53.771901529422323</v>
      </c>
    </row>
    <row r="13" spans="1:3" ht="25" customHeight="1" x14ac:dyDescent="0.25">
      <c r="A13" s="18">
        <v>52.836964898001504</v>
      </c>
    </row>
    <row r="14" spans="1:3" ht="25" customHeight="1" x14ac:dyDescent="0.25">
      <c r="A14" s="18">
        <v>59.209591447046762</v>
      </c>
    </row>
    <row r="15" spans="1:3" ht="25" customHeight="1" x14ac:dyDescent="0.25">
      <c r="A15" s="18">
        <v>127.78312543566943</v>
      </c>
    </row>
    <row r="16" spans="1:3" ht="25" customHeight="1" x14ac:dyDescent="0.25">
      <c r="A16" s="18">
        <v>34.183519198559225</v>
      </c>
    </row>
    <row r="17" spans="1:1" ht="25" customHeight="1" x14ac:dyDescent="0.25">
      <c r="A17" s="18">
        <v>41.18274655595738</v>
      </c>
    </row>
    <row r="18" spans="1:1" ht="25" customHeight="1" x14ac:dyDescent="0.25">
      <c r="A18" s="18">
        <v>37.030579636339098</v>
      </c>
    </row>
    <row r="19" spans="1:1" ht="25" customHeight="1" x14ac:dyDescent="0.25">
      <c r="A19" s="18">
        <v>69.599282320561059</v>
      </c>
    </row>
    <row r="20" spans="1:1" ht="25" customHeight="1" x14ac:dyDescent="0.25">
      <c r="A20" s="18">
        <v>40.128409448079765</v>
      </c>
    </row>
    <row r="21" spans="1:1" ht="25" customHeight="1" x14ac:dyDescent="0.25">
      <c r="A21" s="18">
        <v>40.909797646406474</v>
      </c>
    </row>
    <row r="22" spans="1:1" ht="25" customHeight="1" x14ac:dyDescent="0.25">
      <c r="A22" s="18">
        <v>41.117681948769274</v>
      </c>
    </row>
    <row r="23" spans="1:1" ht="25" customHeight="1" x14ac:dyDescent="0.25">
      <c r="A23" s="18">
        <v>33.679715639445931</v>
      </c>
    </row>
    <row r="24" spans="1:1" ht="25" customHeight="1" x14ac:dyDescent="0.25">
      <c r="A24" s="18">
        <v>34.593579797074199</v>
      </c>
    </row>
    <row r="25" spans="1:1" ht="25" customHeight="1" x14ac:dyDescent="0.25">
      <c r="A25" s="18">
        <v>31.68787092436105</v>
      </c>
    </row>
    <row r="26" spans="1:1" ht="25" customHeight="1" x14ac:dyDescent="0.25">
      <c r="A26" s="18">
        <v>32.181566556702968</v>
      </c>
    </row>
    <row r="27" spans="1:1" ht="25" customHeight="1" x14ac:dyDescent="0.25">
      <c r="A27" s="18">
        <v>40.80281381453289</v>
      </c>
    </row>
    <row r="28" spans="1:1" ht="25" customHeight="1" x14ac:dyDescent="0.25">
      <c r="A28" s="18">
        <v>110.54126476476218</v>
      </c>
    </row>
    <row r="29" spans="1:1" ht="25" customHeight="1" x14ac:dyDescent="0.25">
      <c r="A29" s="18">
        <v>42.219834222986748</v>
      </c>
    </row>
    <row r="30" spans="1:1" ht="25" customHeight="1" x14ac:dyDescent="0.25">
      <c r="A30" s="18">
        <v>49.51755097538549</v>
      </c>
    </row>
    <row r="31" spans="1:1" ht="25" customHeight="1" x14ac:dyDescent="0.25">
      <c r="A31" s="18">
        <v>65.963283355365633</v>
      </c>
    </row>
    <row r="32" spans="1:1" ht="25" customHeight="1" x14ac:dyDescent="0.25">
      <c r="A32" s="18">
        <v>50.119942095431867</v>
      </c>
    </row>
    <row r="33" spans="1:1" ht="25" customHeight="1" x14ac:dyDescent="0.25">
      <c r="A33" s="18">
        <v>53.309910864240294</v>
      </c>
    </row>
    <row r="34" spans="1:1" ht="25" customHeight="1" x14ac:dyDescent="0.25">
      <c r="A34" s="18">
        <v>34.308579972581441</v>
      </c>
    </row>
    <row r="35" spans="1:1" ht="25" customHeight="1" x14ac:dyDescent="0.25">
      <c r="A35" s="18">
        <v>32.985101421363652</v>
      </c>
    </row>
    <row r="36" spans="1:1" ht="25" customHeight="1" x14ac:dyDescent="0.25">
      <c r="A36" s="18">
        <v>64.227802537353881</v>
      </c>
    </row>
    <row r="37" spans="1:1" ht="25" customHeight="1" x14ac:dyDescent="0.25">
      <c r="A37" s="18">
        <v>67.28401564803923</v>
      </c>
    </row>
    <row r="38" spans="1:1" ht="25" customHeight="1" x14ac:dyDescent="0.25">
      <c r="A38" s="18">
        <v>56.376573777428632</v>
      </c>
    </row>
    <row r="39" spans="1:1" ht="25" customHeight="1" x14ac:dyDescent="0.25">
      <c r="A39" s="18">
        <v>30.611158109861105</v>
      </c>
    </row>
    <row r="40" spans="1:1" ht="25" customHeight="1" x14ac:dyDescent="0.25">
      <c r="A40" s="18">
        <v>49.650231808725181</v>
      </c>
    </row>
    <row r="41" spans="1:1" ht="25" customHeight="1" x14ac:dyDescent="0.25">
      <c r="A41" s="18">
        <v>30.256860530935228</v>
      </c>
    </row>
    <row r="42" spans="1:1" ht="25" customHeight="1" x14ac:dyDescent="0.25">
      <c r="A42" s="18">
        <v>47.465419680181327</v>
      </c>
    </row>
    <row r="43" spans="1:1" ht="25" customHeight="1" x14ac:dyDescent="0.25">
      <c r="A43" s="18">
        <v>41.842515067522939</v>
      </c>
    </row>
    <row r="44" spans="1:1" ht="25" customHeight="1" x14ac:dyDescent="0.25">
      <c r="A44" s="18">
        <v>40.54850793527028</v>
      </c>
    </row>
    <row r="45" spans="1:1" ht="25" customHeight="1" x14ac:dyDescent="0.25">
      <c r="A45" s="18">
        <v>50.481946504976037</v>
      </c>
    </row>
    <row r="46" spans="1:1" ht="25" customHeight="1" x14ac:dyDescent="0.25">
      <c r="A46" s="18">
        <v>42.879178434911552</v>
      </c>
    </row>
    <row r="47" spans="1:1" ht="25" customHeight="1" x14ac:dyDescent="0.25">
      <c r="A47" s="18">
        <v>31.99466759338975</v>
      </c>
    </row>
    <row r="48" spans="1:1" ht="25" customHeight="1" x14ac:dyDescent="0.25">
      <c r="A48" s="18">
        <v>41.608413615565183</v>
      </c>
    </row>
    <row r="49" spans="1:1" ht="25" customHeight="1" x14ac:dyDescent="0.25">
      <c r="A49" s="18">
        <v>35.372470412403345</v>
      </c>
    </row>
    <row r="50" spans="1:1" ht="25" customHeight="1" x14ac:dyDescent="0.25">
      <c r="A50" s="18">
        <v>50.227781583116069</v>
      </c>
    </row>
    <row r="51" spans="1:1" ht="25" customHeight="1" x14ac:dyDescent="0.25">
      <c r="A51" s="18">
        <v>33.258706101258475</v>
      </c>
    </row>
    <row r="52" spans="1:1" ht="25" customHeight="1" x14ac:dyDescent="0.25">
      <c r="A52" s="18">
        <v>36.146681063355153</v>
      </c>
    </row>
    <row r="53" spans="1:1" ht="25" customHeight="1" x14ac:dyDescent="0.25">
      <c r="A53" s="18">
        <v>41.541649535599532</v>
      </c>
    </row>
    <row r="54" spans="1:1" ht="25" customHeight="1" x14ac:dyDescent="0.25">
      <c r="A54" s="18">
        <v>33.454991129692644</v>
      </c>
    </row>
    <row r="55" spans="1:1" ht="25" customHeight="1" x14ac:dyDescent="0.25">
      <c r="A55" s="18">
        <v>33.187484617810696</v>
      </c>
    </row>
    <row r="56" spans="1:1" ht="25" customHeight="1" x14ac:dyDescent="0.25">
      <c r="A56" s="18">
        <v>31.684710506815463</v>
      </c>
    </row>
    <row r="57" spans="1:1" ht="25" customHeight="1" x14ac:dyDescent="0.25">
      <c r="A57" s="18">
        <v>54.368565714589117</v>
      </c>
    </row>
    <row r="58" spans="1:1" ht="25" customHeight="1" x14ac:dyDescent="0.25">
      <c r="A58" s="18">
        <v>53.078939699238902</v>
      </c>
    </row>
    <row r="59" spans="1:1" ht="25" customHeight="1" x14ac:dyDescent="0.25">
      <c r="A59" s="18">
        <v>57.385759221992259</v>
      </c>
    </row>
    <row r="60" spans="1:1" ht="25" customHeight="1" x14ac:dyDescent="0.25">
      <c r="A60" s="18">
        <v>36.932783669326454</v>
      </c>
    </row>
    <row r="61" spans="1:1" ht="25" customHeight="1" x14ac:dyDescent="0.25">
      <c r="A61" s="18">
        <v>44.711488661657455</v>
      </c>
    </row>
    <row r="62" spans="1:1" ht="25" customHeight="1" x14ac:dyDescent="0.25">
      <c r="A62" s="18">
        <v>51.219978988002737</v>
      </c>
    </row>
    <row r="63" spans="1:1" ht="25" customHeight="1" x14ac:dyDescent="0.25">
      <c r="A63" s="18">
        <v>34.738380846091424</v>
      </c>
    </row>
    <row r="64" spans="1:1" ht="25" customHeight="1" x14ac:dyDescent="0.25">
      <c r="A64" s="18">
        <v>30.929745727242917</v>
      </c>
    </row>
    <row r="65" spans="1:1" ht="25" customHeight="1" x14ac:dyDescent="0.25">
      <c r="A65" s="18">
        <v>30.328833469410338</v>
      </c>
    </row>
    <row r="66" spans="1:1" ht="25" customHeight="1" x14ac:dyDescent="0.25">
      <c r="A66" s="18">
        <v>36.456756089111629</v>
      </c>
    </row>
    <row r="67" spans="1:1" ht="25" customHeight="1" x14ac:dyDescent="0.25">
      <c r="A67" s="18">
        <v>37.117371812928468</v>
      </c>
    </row>
    <row r="68" spans="1:1" ht="25" customHeight="1" x14ac:dyDescent="0.25">
      <c r="A68" s="18">
        <v>53.150044412859224</v>
      </c>
    </row>
    <row r="69" spans="1:1" ht="25" customHeight="1" x14ac:dyDescent="0.25">
      <c r="A69" s="18">
        <v>32.838772782124579</v>
      </c>
    </row>
    <row r="70" spans="1:1" ht="25" customHeight="1" x14ac:dyDescent="0.25">
      <c r="A70" s="18">
        <v>33.988396197091788</v>
      </c>
    </row>
    <row r="71" spans="1:1" ht="25" customHeight="1" x14ac:dyDescent="0.25">
      <c r="A71" s="18">
        <v>31.164749417428595</v>
      </c>
    </row>
    <row r="72" spans="1:1" ht="25" customHeight="1" x14ac:dyDescent="0.25">
      <c r="A72" s="18">
        <v>60.104070127612715</v>
      </c>
    </row>
    <row r="73" spans="1:1" ht="25" customHeight="1" x14ac:dyDescent="0.25">
      <c r="A73" s="18">
        <v>54.271881431332069</v>
      </c>
    </row>
    <row r="74" spans="1:1" ht="25" customHeight="1" x14ac:dyDescent="0.25">
      <c r="A74" s="18">
        <v>30.121303503401577</v>
      </c>
    </row>
    <row r="75" spans="1:1" ht="25" customHeight="1" x14ac:dyDescent="0.25">
      <c r="A75" s="18">
        <v>66.225175337213187</v>
      </c>
    </row>
    <row r="76" spans="1:1" ht="25" customHeight="1" x14ac:dyDescent="0.25">
      <c r="A76" s="18">
        <v>40.822088484085434</v>
      </c>
    </row>
    <row r="77" spans="1:1" ht="25" customHeight="1" x14ac:dyDescent="0.25">
      <c r="A77" s="18">
        <v>50.794695735580092</v>
      </c>
    </row>
    <row r="78" spans="1:1" ht="25" customHeight="1" x14ac:dyDescent="0.25">
      <c r="A78" s="18">
        <v>31.005436310078949</v>
      </c>
    </row>
    <row r="79" spans="1:1" ht="25" customHeight="1" x14ac:dyDescent="0.25">
      <c r="A79" s="18">
        <v>39.967539429198951</v>
      </c>
    </row>
    <row r="80" spans="1:1" ht="25" customHeight="1" x14ac:dyDescent="0.25">
      <c r="A80" s="18">
        <v>52.430345461374877</v>
      </c>
    </row>
    <row r="81" spans="1:1" ht="25" customHeight="1" x14ac:dyDescent="0.25">
      <c r="A81" s="18">
        <v>55.719065134084587</v>
      </c>
    </row>
    <row r="82" spans="1:1" ht="25" customHeight="1" x14ac:dyDescent="0.25">
      <c r="A82" s="18">
        <v>69.307078279527076</v>
      </c>
    </row>
    <row r="83" spans="1:1" ht="25" customHeight="1" x14ac:dyDescent="0.25">
      <c r="A83" s="18">
        <v>37.682667633052915</v>
      </c>
    </row>
    <row r="84" spans="1:1" ht="25" customHeight="1" x14ac:dyDescent="0.25">
      <c r="A84" s="18">
        <v>32.345481631346047</v>
      </c>
    </row>
    <row r="85" spans="1:1" ht="25" customHeight="1" x14ac:dyDescent="0.25">
      <c r="A85" s="18">
        <v>58.076325588530665</v>
      </c>
    </row>
    <row r="86" spans="1:1" ht="25" customHeight="1" x14ac:dyDescent="0.25">
      <c r="A86" s="18">
        <v>70.60914669782133</v>
      </c>
    </row>
    <row r="87" spans="1:1" ht="25" customHeight="1" x14ac:dyDescent="0.25">
      <c r="A87" s="18">
        <v>54.769155363223319</v>
      </c>
    </row>
    <row r="88" spans="1:1" ht="25" customHeight="1" x14ac:dyDescent="0.25">
      <c r="A88" s="18">
        <v>37.746288275811821</v>
      </c>
    </row>
    <row r="89" spans="1:1" ht="25" customHeight="1" x14ac:dyDescent="0.25">
      <c r="A89" s="18">
        <v>64.19509685089065</v>
      </c>
    </row>
    <row r="90" spans="1:1" ht="25" customHeight="1" x14ac:dyDescent="0.25">
      <c r="A90" s="18">
        <v>67.746267547232719</v>
      </c>
    </row>
    <row r="91" spans="1:1" ht="25" customHeight="1" x14ac:dyDescent="0.25">
      <c r="A91" s="18">
        <v>35.118766218344049</v>
      </c>
    </row>
    <row r="92" spans="1:1" ht="25" customHeight="1" x14ac:dyDescent="0.25">
      <c r="A92" s="18">
        <v>43.427614587660315</v>
      </c>
    </row>
    <row r="93" spans="1:1" ht="25" customHeight="1" x14ac:dyDescent="0.25">
      <c r="A93" s="18">
        <v>43.050719894769969</v>
      </c>
    </row>
    <row r="94" spans="1:1" ht="25" customHeight="1" x14ac:dyDescent="0.25">
      <c r="A94" s="18">
        <v>34.890101321507245</v>
      </c>
    </row>
    <row r="95" spans="1:1" ht="25" customHeight="1" x14ac:dyDescent="0.25">
      <c r="A95" s="18">
        <v>37.646529239136726</v>
      </c>
    </row>
    <row r="96" spans="1:1" ht="25" customHeight="1" x14ac:dyDescent="0.25">
      <c r="A96" s="18">
        <v>36.512210180517286</v>
      </c>
    </row>
    <row r="97" spans="1:1" ht="25" customHeight="1" x14ac:dyDescent="0.25">
      <c r="A97" s="18">
        <v>44.99191072240788</v>
      </c>
    </row>
    <row r="98" spans="1:1" ht="25" customHeight="1" x14ac:dyDescent="0.25">
      <c r="A98" s="18">
        <v>40.478340214419546</v>
      </c>
    </row>
    <row r="99" spans="1:1" ht="25" customHeight="1" x14ac:dyDescent="0.25">
      <c r="A99" s="18">
        <v>52.912835216752057</v>
      </c>
    </row>
    <row r="100" spans="1:1" ht="25" customHeight="1" x14ac:dyDescent="0.25">
      <c r="A100" s="18">
        <v>32.852263803918561</v>
      </c>
    </row>
    <row r="101" spans="1:1" ht="25" customHeight="1" x14ac:dyDescent="0.25">
      <c r="A101" s="18">
        <v>42.150519377853158</v>
      </c>
    </row>
    <row r="102" spans="1:1" ht="25" customHeight="1" x14ac:dyDescent="0.25">
      <c r="A102" s="18">
        <v>34.615299509419771</v>
      </c>
    </row>
    <row r="103" spans="1:1" ht="25" customHeight="1" x14ac:dyDescent="0.25">
      <c r="A103" s="18">
        <v>36.867444069527146</v>
      </c>
    </row>
    <row r="104" spans="1:1" ht="25" customHeight="1" x14ac:dyDescent="0.25">
      <c r="A104" s="18">
        <v>57.641927952549224</v>
      </c>
    </row>
    <row r="105" spans="1:1" ht="25" customHeight="1" x14ac:dyDescent="0.25">
      <c r="A105" s="18">
        <v>49.332261517945113</v>
      </c>
    </row>
    <row r="106" spans="1:1" ht="25" customHeight="1" x14ac:dyDescent="0.25">
      <c r="A106" s="18">
        <v>38.767668509390205</v>
      </c>
    </row>
    <row r="107" spans="1:1" ht="25" customHeight="1" x14ac:dyDescent="0.25">
      <c r="A107" s="18">
        <v>34.39139593849702</v>
      </c>
    </row>
    <row r="108" spans="1:1" ht="25" customHeight="1" x14ac:dyDescent="0.25">
      <c r="A108" s="18">
        <v>38.342546371277422</v>
      </c>
    </row>
    <row r="109" spans="1:1" ht="25" customHeight="1" x14ac:dyDescent="0.25">
      <c r="A109" s="18">
        <v>37.086550329863663</v>
      </c>
    </row>
    <row r="110" spans="1:1" ht="25" customHeight="1" x14ac:dyDescent="0.25">
      <c r="A110" s="18">
        <v>61.755756277563222</v>
      </c>
    </row>
    <row r="111" spans="1:1" ht="25" customHeight="1" x14ac:dyDescent="0.25">
      <c r="A111" s="18">
        <v>33.55604701442644</v>
      </c>
    </row>
    <row r="112" spans="1:1" ht="25" customHeight="1" x14ac:dyDescent="0.25">
      <c r="A112" s="18">
        <v>49.528933362405184</v>
      </c>
    </row>
    <row r="113" spans="1:1" ht="25" customHeight="1" x14ac:dyDescent="0.25">
      <c r="A113" s="18">
        <v>53.53956713215149</v>
      </c>
    </row>
    <row r="114" spans="1:1" ht="25" customHeight="1" x14ac:dyDescent="0.25">
      <c r="A114" s="18">
        <v>54.111682287088399</v>
      </c>
    </row>
    <row r="115" spans="1:1" ht="25" customHeight="1" x14ac:dyDescent="0.25">
      <c r="A115" s="18">
        <v>45.94257321611363</v>
      </c>
    </row>
    <row r="116" spans="1:1" ht="25" customHeight="1" x14ac:dyDescent="0.25">
      <c r="A116" s="18">
        <v>65.763890061499723</v>
      </c>
    </row>
    <row r="117" spans="1:1" ht="25" customHeight="1" x14ac:dyDescent="0.25">
      <c r="A117" s="18">
        <v>40.325761288404465</v>
      </c>
    </row>
    <row r="118" spans="1:1" ht="25" customHeight="1" x14ac:dyDescent="0.25">
      <c r="A118" s="18">
        <v>31.281466302461919</v>
      </c>
    </row>
    <row r="119" spans="1:1" ht="25" customHeight="1" x14ac:dyDescent="0.25">
      <c r="A119" s="18">
        <v>38.169489009305835</v>
      </c>
    </row>
    <row r="120" spans="1:1" ht="25" customHeight="1" x14ac:dyDescent="0.25">
      <c r="A120" s="18">
        <v>37.51286887563765</v>
      </c>
    </row>
    <row r="121" spans="1:1" ht="25" customHeight="1" x14ac:dyDescent="0.25">
      <c r="A121" s="18">
        <v>52.210685516361863</v>
      </c>
    </row>
    <row r="122" spans="1:1" ht="25" customHeight="1" x14ac:dyDescent="0.25">
      <c r="A122" s="18">
        <v>32.152299138249312</v>
      </c>
    </row>
    <row r="123" spans="1:1" ht="25" customHeight="1" x14ac:dyDescent="0.25">
      <c r="A123" s="18">
        <v>33.794799861498177</v>
      </c>
    </row>
    <row r="124" spans="1:1" ht="25" customHeight="1" x14ac:dyDescent="0.25">
      <c r="A124" s="18">
        <v>32.705895078834146</v>
      </c>
    </row>
    <row r="125" spans="1:1" ht="25" customHeight="1" x14ac:dyDescent="0.25">
      <c r="A125" s="18">
        <v>40.015180462505668</v>
      </c>
    </row>
    <row r="126" spans="1:1" ht="25" customHeight="1" x14ac:dyDescent="0.25">
      <c r="A126" s="18">
        <v>31.645221028011292</v>
      </c>
    </row>
    <row r="127" spans="1:1" ht="25" customHeight="1" x14ac:dyDescent="0.25">
      <c r="A127" s="18">
        <v>39.651232904288918</v>
      </c>
    </row>
    <row r="128" spans="1:1" ht="25" customHeight="1" x14ac:dyDescent="0.25">
      <c r="A128" s="18">
        <v>38.624180280603468</v>
      </c>
    </row>
    <row r="129" spans="1:1" ht="25" customHeight="1" x14ac:dyDescent="0.25">
      <c r="A129" s="18">
        <v>30.275298054726377</v>
      </c>
    </row>
    <row r="130" spans="1:1" ht="25" customHeight="1" x14ac:dyDescent="0.25">
      <c r="A130" s="18">
        <v>33.485360399354249</v>
      </c>
    </row>
    <row r="131" spans="1:1" ht="25" customHeight="1" x14ac:dyDescent="0.25">
      <c r="A131" s="18">
        <v>32.457574945874512</v>
      </c>
    </row>
    <row r="132" spans="1:1" ht="25" customHeight="1" x14ac:dyDescent="0.25">
      <c r="A132" s="18">
        <v>43.469868907496675</v>
      </c>
    </row>
    <row r="133" spans="1:1" ht="25" customHeight="1" x14ac:dyDescent="0.25">
      <c r="A133" s="18">
        <v>40.892417756210449</v>
      </c>
    </row>
    <row r="134" spans="1:1" ht="25" customHeight="1" x14ac:dyDescent="0.25">
      <c r="A134" s="18">
        <v>49.959278068806412</v>
      </c>
    </row>
    <row r="135" spans="1:1" ht="25" customHeight="1" x14ac:dyDescent="0.25">
      <c r="A135" s="18">
        <v>33.819442035164684</v>
      </c>
    </row>
    <row r="136" spans="1:1" ht="25" customHeight="1" x14ac:dyDescent="0.25">
      <c r="A136" s="18">
        <v>37.856629632879049</v>
      </c>
    </row>
    <row r="137" spans="1:1" ht="25" customHeight="1" x14ac:dyDescent="0.25">
      <c r="A137" s="18">
        <v>66.154856239566385</v>
      </c>
    </row>
    <row r="138" spans="1:1" ht="25" customHeight="1" x14ac:dyDescent="0.25">
      <c r="A138" s="18">
        <v>55.816313911518563</v>
      </c>
    </row>
    <row r="139" spans="1:1" ht="25" customHeight="1" x14ac:dyDescent="0.25">
      <c r="A139" s="18">
        <v>31.1981864226982</v>
      </c>
    </row>
    <row r="140" spans="1:1" ht="25" customHeight="1" x14ac:dyDescent="0.25">
      <c r="A140" s="18">
        <v>39.189103175885975</v>
      </c>
    </row>
    <row r="141" spans="1:1" ht="25" customHeight="1" x14ac:dyDescent="0.25">
      <c r="A141" s="18">
        <v>32.972748074680567</v>
      </c>
    </row>
    <row r="142" spans="1:1" ht="25" customHeight="1" x14ac:dyDescent="0.25">
      <c r="A142" s="18">
        <v>39.807592425495386</v>
      </c>
    </row>
    <row r="143" spans="1:1" ht="25" customHeight="1" x14ac:dyDescent="0.25">
      <c r="A143" s="18">
        <v>55.748269181038474</v>
      </c>
    </row>
    <row r="144" spans="1:1" ht="25" customHeight="1" x14ac:dyDescent="0.25">
      <c r="A144" s="18">
        <v>42.013864893767419</v>
      </c>
    </row>
    <row r="145" spans="1:1" ht="25" customHeight="1" x14ac:dyDescent="0.25">
      <c r="A145" s="18">
        <v>59.178414399406677</v>
      </c>
    </row>
    <row r="146" spans="1:1" ht="25" customHeight="1" x14ac:dyDescent="0.25">
      <c r="A146" s="18">
        <v>50.12521477353144</v>
      </c>
    </row>
    <row r="147" spans="1:1" ht="25" customHeight="1" x14ac:dyDescent="0.25">
      <c r="A147" s="18">
        <v>87.675613062339906</v>
      </c>
    </row>
    <row r="148" spans="1:1" ht="25" customHeight="1" x14ac:dyDescent="0.25">
      <c r="A148" s="18">
        <v>30.488174340651693</v>
      </c>
    </row>
    <row r="149" spans="1:1" ht="25" customHeight="1" x14ac:dyDescent="0.25">
      <c r="A149" s="18">
        <v>31.602561503361489</v>
      </c>
    </row>
    <row r="150" spans="1:1" ht="25" customHeight="1" x14ac:dyDescent="0.25">
      <c r="A150" s="18">
        <v>55.443514394930453</v>
      </c>
    </row>
    <row r="151" spans="1:1" ht="25" customHeight="1" x14ac:dyDescent="0.25">
      <c r="A151" s="18">
        <v>56.192054086035853</v>
      </c>
    </row>
    <row r="152" spans="1:1" ht="25" customHeight="1" x14ac:dyDescent="0.25">
      <c r="A152" s="18">
        <v>56.150123476433663</v>
      </c>
    </row>
    <row r="153" spans="1:1" ht="25" customHeight="1" x14ac:dyDescent="0.25">
      <c r="A153" s="18">
        <v>55.68656232081986</v>
      </c>
    </row>
    <row r="154" spans="1:1" ht="25" customHeight="1" x14ac:dyDescent="0.25">
      <c r="A154" s="18">
        <v>52.108126048601036</v>
      </c>
    </row>
    <row r="155" spans="1:1" ht="25" customHeight="1" x14ac:dyDescent="0.25">
      <c r="A155" s="18">
        <v>61.11078056380785</v>
      </c>
    </row>
    <row r="156" spans="1:1" ht="25" customHeight="1" x14ac:dyDescent="0.25">
      <c r="A156" s="18">
        <v>49.010764178189817</v>
      </c>
    </row>
    <row r="157" spans="1:1" ht="25" customHeight="1" x14ac:dyDescent="0.25">
      <c r="A157" s="18">
        <v>39.469132425729185</v>
      </c>
    </row>
    <row r="158" spans="1:1" ht="25" customHeight="1" x14ac:dyDescent="0.25">
      <c r="A158" s="18">
        <v>34.490346286911517</v>
      </c>
    </row>
    <row r="159" spans="1:1" ht="25" customHeight="1" x14ac:dyDescent="0.25">
      <c r="A159" s="18">
        <v>61.676710013272412</v>
      </c>
    </row>
    <row r="160" spans="1:1" ht="25" customHeight="1" x14ac:dyDescent="0.25">
      <c r="A160" s="18">
        <v>40.178170586004853</v>
      </c>
    </row>
    <row r="161" spans="1:1" ht="25" customHeight="1" x14ac:dyDescent="0.25">
      <c r="A161" s="18">
        <v>47.584741701673153</v>
      </c>
    </row>
    <row r="162" spans="1:1" ht="25" customHeight="1" x14ac:dyDescent="0.25">
      <c r="A162" s="18">
        <v>45.731316119888731</v>
      </c>
    </row>
    <row r="163" spans="1:1" ht="25" customHeight="1" x14ac:dyDescent="0.25">
      <c r="A163" s="18">
        <v>55.215121841660505</v>
      </c>
    </row>
    <row r="164" spans="1:1" ht="25" customHeight="1" x14ac:dyDescent="0.25">
      <c r="A164" s="18">
        <v>32.609912313574071</v>
      </c>
    </row>
    <row r="165" spans="1:1" ht="25" customHeight="1" x14ac:dyDescent="0.25">
      <c r="A165" s="18">
        <v>68.509276777478107</v>
      </c>
    </row>
    <row r="166" spans="1:1" ht="25" customHeight="1" x14ac:dyDescent="0.25">
      <c r="A166" s="18">
        <v>41.674246587085797</v>
      </c>
    </row>
    <row r="167" spans="1:1" ht="25" customHeight="1" x14ac:dyDescent="0.25">
      <c r="A167" s="18">
        <v>72.258166835091544</v>
      </c>
    </row>
    <row r="168" spans="1:1" ht="25" customHeight="1" x14ac:dyDescent="0.25">
      <c r="A168" s="18">
        <v>33.935264372921168</v>
      </c>
    </row>
    <row r="169" spans="1:1" ht="25" customHeight="1" x14ac:dyDescent="0.25">
      <c r="A169" s="18">
        <v>62.180283317410215</v>
      </c>
    </row>
    <row r="170" spans="1:1" ht="25" customHeight="1" x14ac:dyDescent="0.25">
      <c r="A170" s="18">
        <v>45.977431022863271</v>
      </c>
    </row>
    <row r="171" spans="1:1" ht="25" customHeight="1" x14ac:dyDescent="0.25">
      <c r="A171" s="18">
        <v>47.563953981104675</v>
      </c>
    </row>
    <row r="172" spans="1:1" ht="25" customHeight="1" x14ac:dyDescent="0.25">
      <c r="A172" s="18">
        <v>46.289589497561934</v>
      </c>
    </row>
    <row r="173" spans="1:1" ht="25" customHeight="1" x14ac:dyDescent="0.25">
      <c r="A173" s="18">
        <v>35.568672852011275</v>
      </c>
    </row>
    <row r="174" spans="1:1" ht="25" customHeight="1" x14ac:dyDescent="0.25">
      <c r="A174" s="18">
        <v>52.65075185210145</v>
      </c>
    </row>
    <row r="175" spans="1:1" ht="25" customHeight="1" x14ac:dyDescent="0.25">
      <c r="A175" s="18">
        <v>41.391437099616411</v>
      </c>
    </row>
    <row r="176" spans="1:1" ht="25" customHeight="1" x14ac:dyDescent="0.25">
      <c r="A176" s="18">
        <v>31.535752152121631</v>
      </c>
    </row>
    <row r="177" spans="1:1" ht="25" customHeight="1" x14ac:dyDescent="0.25">
      <c r="A177" s="18">
        <v>35.991911246117787</v>
      </c>
    </row>
    <row r="178" spans="1:1" ht="25" customHeight="1" x14ac:dyDescent="0.25">
      <c r="A178" s="18">
        <v>37.004774257075042</v>
      </c>
    </row>
    <row r="179" spans="1:1" ht="25" customHeight="1" x14ac:dyDescent="0.25">
      <c r="A179" s="18">
        <v>36.426826003007591</v>
      </c>
    </row>
    <row r="180" spans="1:1" ht="25" customHeight="1" x14ac:dyDescent="0.25">
      <c r="A180" s="18">
        <v>36.473699386697263</v>
      </c>
    </row>
    <row r="181" spans="1:1" ht="25" customHeight="1" x14ac:dyDescent="0.25">
      <c r="A181" s="18">
        <v>47.995016471783998</v>
      </c>
    </row>
    <row r="182" spans="1:1" ht="25" customHeight="1" x14ac:dyDescent="0.25">
      <c r="A182" s="18">
        <v>38.942083126911427</v>
      </c>
    </row>
    <row r="183" spans="1:1" ht="25" customHeight="1" x14ac:dyDescent="0.25">
      <c r="A183" s="18">
        <v>38.489750877488405</v>
      </c>
    </row>
    <row r="184" spans="1:1" ht="25" customHeight="1" x14ac:dyDescent="0.25">
      <c r="A184" s="18">
        <v>37.104922577273101</v>
      </c>
    </row>
    <row r="185" spans="1:1" ht="25" customHeight="1" x14ac:dyDescent="0.25">
      <c r="A185" s="18">
        <v>66.423356354208835</v>
      </c>
    </row>
    <row r="186" spans="1:1" ht="25" customHeight="1" x14ac:dyDescent="0.25">
      <c r="A186" s="18">
        <v>33.493768929038197</v>
      </c>
    </row>
    <row r="187" spans="1:1" ht="25" customHeight="1" x14ac:dyDescent="0.25">
      <c r="A187" s="18">
        <v>35.440031850019146</v>
      </c>
    </row>
    <row r="188" spans="1:1" ht="25" customHeight="1" x14ac:dyDescent="0.25">
      <c r="A188" s="18">
        <v>45.77485809505302</v>
      </c>
    </row>
    <row r="189" spans="1:1" ht="25" customHeight="1" x14ac:dyDescent="0.25">
      <c r="A189" s="18">
        <v>32.561445453993244</v>
      </c>
    </row>
    <row r="190" spans="1:1" ht="25" customHeight="1" x14ac:dyDescent="0.25">
      <c r="A190" s="18">
        <v>58.733083101591831</v>
      </c>
    </row>
    <row r="191" spans="1:1" ht="25" customHeight="1" x14ac:dyDescent="0.25">
      <c r="A191" s="18">
        <v>54.14418962658084</v>
      </c>
    </row>
    <row r="192" spans="1:1" ht="25" customHeight="1" x14ac:dyDescent="0.25">
      <c r="A192" s="18">
        <v>30.812619506228231</v>
      </c>
    </row>
    <row r="193" spans="1:1" ht="25" customHeight="1" x14ac:dyDescent="0.25">
      <c r="A193" s="18">
        <v>92.30465666075888</v>
      </c>
    </row>
    <row r="194" spans="1:1" ht="25" customHeight="1" x14ac:dyDescent="0.25">
      <c r="A194" s="18">
        <v>39.329092456027865</v>
      </c>
    </row>
    <row r="195" spans="1:1" ht="25" customHeight="1" x14ac:dyDescent="0.25">
      <c r="A195" s="18">
        <v>50.524832247126291</v>
      </c>
    </row>
    <row r="196" spans="1:1" ht="25" customHeight="1" x14ac:dyDescent="0.25">
      <c r="A196" s="18">
        <v>31.928302756713844</v>
      </c>
    </row>
    <row r="197" spans="1:1" ht="25" customHeight="1" x14ac:dyDescent="0.25">
      <c r="A197" s="18">
        <v>37.989236824214458</v>
      </c>
    </row>
    <row r="198" spans="1:1" ht="25" customHeight="1" x14ac:dyDescent="0.25">
      <c r="A198" s="18">
        <v>46.942548611502531</v>
      </c>
    </row>
    <row r="199" spans="1:1" ht="25" customHeight="1" x14ac:dyDescent="0.25">
      <c r="A199" s="18">
        <v>44.546492085161987</v>
      </c>
    </row>
    <row r="200" spans="1:1" ht="25" customHeight="1" x14ac:dyDescent="0.25">
      <c r="A200" s="18">
        <v>34.785326840355992</v>
      </c>
    </row>
    <row r="201" spans="1:1" ht="25" customHeight="1" x14ac:dyDescent="0.25">
      <c r="A201" s="18">
        <v>55.360773726037507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BEEDE-1ABD-4344-9A3A-D5F30647120C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88</v>
      </c>
      <c r="C1" s="15" t="s">
        <v>46</v>
      </c>
    </row>
    <row r="2" spans="1:3" ht="25" customHeight="1" x14ac:dyDescent="0.25">
      <c r="A2" s="18">
        <v>44.583323970004095</v>
      </c>
      <c r="C2" s="17" t="s">
        <v>89</v>
      </c>
    </row>
    <row r="3" spans="1:3" ht="25" customHeight="1" x14ac:dyDescent="0.25">
      <c r="A3" s="18">
        <v>51.334447207766225</v>
      </c>
      <c r="C3" s="16"/>
    </row>
    <row r="4" spans="1:3" ht="25" customHeight="1" x14ac:dyDescent="0.25">
      <c r="A4" s="18">
        <v>22.049299769270561</v>
      </c>
      <c r="C4" s="17" t="s">
        <v>90</v>
      </c>
    </row>
    <row r="5" spans="1:3" ht="25" customHeight="1" x14ac:dyDescent="0.25">
      <c r="A5" s="18">
        <v>67.12353898825269</v>
      </c>
      <c r="C5" s="16"/>
    </row>
    <row r="6" spans="1:3" ht="25" customHeight="1" x14ac:dyDescent="0.25">
      <c r="A6" s="18">
        <v>51.43348741741498</v>
      </c>
      <c r="C6" s="16"/>
    </row>
    <row r="7" spans="1:3" ht="25" customHeight="1" x14ac:dyDescent="0.25">
      <c r="A7" s="18">
        <v>51.851061941192299</v>
      </c>
      <c r="C7" s="16"/>
    </row>
    <row r="8" spans="1:3" ht="25" customHeight="1" x14ac:dyDescent="0.25">
      <c r="A8" s="18">
        <v>61.899850011110217</v>
      </c>
    </row>
    <row r="9" spans="1:3" ht="25" customHeight="1" x14ac:dyDescent="0.25">
      <c r="A9" s="18">
        <v>45.089113454926675</v>
      </c>
    </row>
    <row r="10" spans="1:3" ht="25" customHeight="1" x14ac:dyDescent="0.25">
      <c r="A10" s="18">
        <v>58.022351957847448</v>
      </c>
    </row>
    <row r="11" spans="1:3" ht="25" customHeight="1" x14ac:dyDescent="0.25">
      <c r="A11" s="18">
        <v>27.918169643776512</v>
      </c>
    </row>
    <row r="12" spans="1:3" ht="25" customHeight="1" x14ac:dyDescent="0.25">
      <c r="A12" s="18">
        <v>48.252400632490939</v>
      </c>
    </row>
    <row r="13" spans="1:3" ht="25" customHeight="1" x14ac:dyDescent="0.25">
      <c r="A13" s="18">
        <v>50.504048652608617</v>
      </c>
    </row>
    <row r="14" spans="1:3" ht="25" customHeight="1" x14ac:dyDescent="0.25">
      <c r="A14" s="18">
        <v>46.940464063830234</v>
      </c>
    </row>
    <row r="15" spans="1:3" ht="25" customHeight="1" x14ac:dyDescent="0.25">
      <c r="A15" s="18">
        <v>32.477745204184998</v>
      </c>
    </row>
    <row r="16" spans="1:3" ht="25" customHeight="1" x14ac:dyDescent="0.25">
      <c r="A16" s="18">
        <v>47.776046232762582</v>
      </c>
    </row>
    <row r="17" spans="1:1" ht="25" customHeight="1" x14ac:dyDescent="0.25">
      <c r="A17" s="18">
        <v>52.364536146374576</v>
      </c>
    </row>
    <row r="18" spans="1:1" ht="25" customHeight="1" x14ac:dyDescent="0.25">
      <c r="A18" s="18">
        <v>45.500856174103568</v>
      </c>
    </row>
    <row r="19" spans="1:1" ht="25" customHeight="1" x14ac:dyDescent="0.25">
      <c r="A19" s="18">
        <v>55.052096044162909</v>
      </c>
    </row>
    <row r="20" spans="1:1" ht="25" customHeight="1" x14ac:dyDescent="0.25">
      <c r="A20" s="18">
        <v>50.685613161086344</v>
      </c>
    </row>
    <row r="21" spans="1:1" ht="25" customHeight="1" x14ac:dyDescent="0.25">
      <c r="A21" s="18">
        <v>49.66952996775624</v>
      </c>
    </row>
    <row r="22" spans="1:1" ht="25" customHeight="1" x14ac:dyDescent="0.25">
      <c r="A22" s="18">
        <v>104.0837872400076</v>
      </c>
    </row>
    <row r="23" spans="1:1" ht="25" customHeight="1" x14ac:dyDescent="0.25">
      <c r="A23" s="18">
        <v>48.138533562033437</v>
      </c>
    </row>
    <row r="24" spans="1:1" ht="25" customHeight="1" x14ac:dyDescent="0.25">
      <c r="A24" s="18">
        <v>51.306818862784155</v>
      </c>
    </row>
    <row r="25" spans="1:1" ht="25" customHeight="1" x14ac:dyDescent="0.25">
      <c r="A25" s="18">
        <v>50.20944889961028</v>
      </c>
    </row>
    <row r="26" spans="1:1" ht="25" customHeight="1" x14ac:dyDescent="0.25">
      <c r="A26" s="18">
        <v>75.063939489551288</v>
      </c>
    </row>
    <row r="27" spans="1:1" ht="25" customHeight="1" x14ac:dyDescent="0.25">
      <c r="A27" s="18">
        <v>45.850919890213376</v>
      </c>
    </row>
    <row r="28" spans="1:1" ht="25" customHeight="1" x14ac:dyDescent="0.25">
      <c r="A28" s="18">
        <v>61.182874319803965</v>
      </c>
    </row>
    <row r="29" spans="1:1" ht="25" customHeight="1" x14ac:dyDescent="0.25">
      <c r="A29" s="18">
        <v>53.242645886564432</v>
      </c>
    </row>
    <row r="30" spans="1:1" ht="25" customHeight="1" x14ac:dyDescent="0.25">
      <c r="A30" s="18">
        <v>48.457622052033251</v>
      </c>
    </row>
    <row r="31" spans="1:1" ht="25" customHeight="1" x14ac:dyDescent="0.25">
      <c r="A31" s="18">
        <v>50.141780231489143</v>
      </c>
    </row>
    <row r="32" spans="1:1" ht="25" customHeight="1" x14ac:dyDescent="0.25">
      <c r="A32" s="18">
        <v>54.727203415741691</v>
      </c>
    </row>
    <row r="33" spans="1:1" ht="25" customHeight="1" x14ac:dyDescent="0.25">
      <c r="A33" s="18">
        <v>41.170085502511725</v>
      </c>
    </row>
    <row r="34" spans="1:1" ht="25" customHeight="1" x14ac:dyDescent="0.25">
      <c r="A34" s="18">
        <v>45.643499747389342</v>
      </c>
    </row>
    <row r="35" spans="1:1" ht="25" customHeight="1" x14ac:dyDescent="0.25">
      <c r="A35" s="18">
        <v>49.679103878592088</v>
      </c>
    </row>
    <row r="36" spans="1:1" ht="25" customHeight="1" x14ac:dyDescent="0.25">
      <c r="A36" s="18">
        <v>48.057261654852617</v>
      </c>
    </row>
    <row r="37" spans="1:1" ht="25" customHeight="1" x14ac:dyDescent="0.25">
      <c r="A37" s="18">
        <v>69.936980427049335</v>
      </c>
    </row>
    <row r="38" spans="1:1" ht="25" customHeight="1" x14ac:dyDescent="0.25">
      <c r="A38" s="18">
        <v>49.69352250939118</v>
      </c>
    </row>
    <row r="39" spans="1:1" ht="25" customHeight="1" x14ac:dyDescent="0.25">
      <c r="A39" s="18">
        <v>68.62388039969656</v>
      </c>
    </row>
    <row r="40" spans="1:1" ht="25" customHeight="1" x14ac:dyDescent="0.25">
      <c r="A40" s="18">
        <v>49.630861611768701</v>
      </c>
    </row>
    <row r="41" spans="1:1" ht="25" customHeight="1" x14ac:dyDescent="0.25">
      <c r="A41" s="18">
        <v>46.252110620339266</v>
      </c>
    </row>
    <row r="42" spans="1:1" ht="25" customHeight="1" x14ac:dyDescent="0.25">
      <c r="A42" s="18">
        <v>33.849920369473907</v>
      </c>
    </row>
    <row r="43" spans="1:1" ht="25" customHeight="1" x14ac:dyDescent="0.25">
      <c r="A43" s="18">
        <v>61.040272273906567</v>
      </c>
    </row>
    <row r="44" spans="1:1" ht="25" customHeight="1" x14ac:dyDescent="0.25">
      <c r="A44" s="18">
        <v>51.026349773822112</v>
      </c>
    </row>
    <row r="45" spans="1:1" ht="25" customHeight="1" x14ac:dyDescent="0.25">
      <c r="A45" s="18">
        <v>25.437813575006871</v>
      </c>
    </row>
    <row r="46" spans="1:1" ht="25" customHeight="1" x14ac:dyDescent="0.25">
      <c r="A46" s="18">
        <v>42.412842605243902</v>
      </c>
    </row>
    <row r="47" spans="1:1" ht="25" customHeight="1" x14ac:dyDescent="0.25">
      <c r="A47" s="18">
        <v>62.686303636400751</v>
      </c>
    </row>
    <row r="48" spans="1:1" ht="25" customHeight="1" x14ac:dyDescent="0.25">
      <c r="A48" s="18">
        <v>42.704975764121997</v>
      </c>
    </row>
    <row r="49" spans="1:1" ht="25" customHeight="1" x14ac:dyDescent="0.25">
      <c r="A49" s="18">
        <v>49.587829692225341</v>
      </c>
    </row>
    <row r="50" spans="1:1" ht="25" customHeight="1" x14ac:dyDescent="0.25">
      <c r="A50" s="18">
        <v>40.78205054740252</v>
      </c>
    </row>
    <row r="51" spans="1:1" ht="25" customHeight="1" x14ac:dyDescent="0.25">
      <c r="A51" s="18">
        <v>41.946539670316461</v>
      </c>
    </row>
    <row r="52" spans="1:1" ht="25" customHeight="1" x14ac:dyDescent="0.25">
      <c r="A52" s="18">
        <v>45.353919743322727</v>
      </c>
    </row>
    <row r="53" spans="1:1" ht="25" customHeight="1" x14ac:dyDescent="0.25">
      <c r="A53" s="18">
        <v>51.583911931211553</v>
      </c>
    </row>
    <row r="54" spans="1:1" ht="25" customHeight="1" x14ac:dyDescent="0.25">
      <c r="A54" s="18">
        <v>43.714457679757274</v>
      </c>
    </row>
    <row r="55" spans="1:1" ht="25" customHeight="1" x14ac:dyDescent="0.25">
      <c r="A55" s="18">
        <v>52.37259939470421</v>
      </c>
    </row>
    <row r="56" spans="1:1" ht="25" customHeight="1" x14ac:dyDescent="0.25">
      <c r="A56" s="18">
        <v>36.057837306818563</v>
      </c>
    </row>
    <row r="57" spans="1:1" ht="25" customHeight="1" x14ac:dyDescent="0.25">
      <c r="A57" s="18">
        <v>52.312866521311008</v>
      </c>
    </row>
    <row r="58" spans="1:1" ht="25" customHeight="1" x14ac:dyDescent="0.25">
      <c r="A58" s="18">
        <v>50.898708249164237</v>
      </c>
    </row>
    <row r="59" spans="1:1" ht="25" customHeight="1" x14ac:dyDescent="0.25">
      <c r="A59" s="18">
        <v>41.696665737883528</v>
      </c>
    </row>
    <row r="60" spans="1:1" ht="25" customHeight="1" x14ac:dyDescent="0.25">
      <c r="A60" s="18">
        <v>44.350601057959913</v>
      </c>
    </row>
    <row r="61" spans="1:1" ht="25" customHeight="1" x14ac:dyDescent="0.25">
      <c r="A61" s="18">
        <v>58.236466252153789</v>
      </c>
    </row>
    <row r="62" spans="1:1" ht="25" customHeight="1" x14ac:dyDescent="0.25">
      <c r="A62" s="18">
        <v>19.574030505252157</v>
      </c>
    </row>
    <row r="63" spans="1:1" ht="25" customHeight="1" x14ac:dyDescent="0.25">
      <c r="A63" s="18">
        <v>56.080188977948879</v>
      </c>
    </row>
    <row r="64" spans="1:1" ht="25" customHeight="1" x14ac:dyDescent="0.25">
      <c r="A64" s="18">
        <v>30.68074555636943</v>
      </c>
    </row>
    <row r="65" spans="1:1" ht="25" customHeight="1" x14ac:dyDescent="0.25">
      <c r="A65" s="18">
        <v>-12.204560354287352</v>
      </c>
    </row>
    <row r="66" spans="1:1" ht="25" customHeight="1" x14ac:dyDescent="0.25">
      <c r="A66" s="18">
        <v>45.220203620598937</v>
      </c>
    </row>
    <row r="67" spans="1:1" ht="25" customHeight="1" x14ac:dyDescent="0.25">
      <c r="A67" s="18">
        <v>17.633038518680848</v>
      </c>
    </row>
    <row r="68" spans="1:1" ht="25" customHeight="1" x14ac:dyDescent="0.25">
      <c r="A68" s="18">
        <v>52.558418096840398</v>
      </c>
    </row>
    <row r="69" spans="1:1" ht="25" customHeight="1" x14ac:dyDescent="0.25">
      <c r="A69" s="18">
        <v>53.918768547743881</v>
      </c>
    </row>
    <row r="70" spans="1:1" ht="25" customHeight="1" x14ac:dyDescent="0.25">
      <c r="A70" s="18">
        <v>56.972852118665365</v>
      </c>
    </row>
    <row r="71" spans="1:1" ht="25" customHeight="1" x14ac:dyDescent="0.25">
      <c r="A71" s="18">
        <v>58.026408528720026</v>
      </c>
    </row>
    <row r="72" spans="1:1" ht="25" customHeight="1" x14ac:dyDescent="0.25">
      <c r="A72" s="18">
        <v>42.542720247102906</v>
      </c>
    </row>
    <row r="73" spans="1:1" ht="25" customHeight="1" x14ac:dyDescent="0.25">
      <c r="A73" s="18">
        <v>48.323793455863751</v>
      </c>
    </row>
    <row r="74" spans="1:1" ht="25" customHeight="1" x14ac:dyDescent="0.25">
      <c r="A74" s="18">
        <v>50.092658671687573</v>
      </c>
    </row>
    <row r="75" spans="1:1" ht="25" customHeight="1" x14ac:dyDescent="0.25">
      <c r="A75" s="18">
        <v>45.229895119984732</v>
      </c>
    </row>
    <row r="76" spans="1:1" ht="25" customHeight="1" x14ac:dyDescent="0.25">
      <c r="A76" s="18">
        <v>52.728573385504006</v>
      </c>
    </row>
    <row r="77" spans="1:1" ht="25" customHeight="1" x14ac:dyDescent="0.25">
      <c r="A77" s="18">
        <v>71.899363117058016</v>
      </c>
    </row>
    <row r="78" spans="1:1" ht="25" customHeight="1" x14ac:dyDescent="0.25">
      <c r="A78" s="18">
        <v>44.513348927234212</v>
      </c>
    </row>
    <row r="79" spans="1:1" ht="25" customHeight="1" x14ac:dyDescent="0.25">
      <c r="A79" s="18">
        <v>63.77864435299476</v>
      </c>
    </row>
    <row r="80" spans="1:1" ht="25" customHeight="1" x14ac:dyDescent="0.25">
      <c r="A80" s="18">
        <v>46.436575656511899</v>
      </c>
    </row>
    <row r="81" spans="1:1" ht="25" customHeight="1" x14ac:dyDescent="0.25">
      <c r="A81" s="18">
        <v>34.887998227138411</v>
      </c>
    </row>
    <row r="82" spans="1:1" ht="25" customHeight="1" x14ac:dyDescent="0.25">
      <c r="A82" s="18">
        <v>58.462021678261699</v>
      </c>
    </row>
    <row r="83" spans="1:1" ht="25" customHeight="1" x14ac:dyDescent="0.25">
      <c r="A83" s="18">
        <v>88.463061624052457</v>
      </c>
    </row>
    <row r="84" spans="1:1" ht="25" customHeight="1" x14ac:dyDescent="0.25">
      <c r="A84" s="18">
        <v>67.934703645557789</v>
      </c>
    </row>
    <row r="85" spans="1:1" ht="25" customHeight="1" x14ac:dyDescent="0.25">
      <c r="A85" s="18">
        <v>42.4628425000082</v>
      </c>
    </row>
    <row r="86" spans="1:1" ht="25" customHeight="1" x14ac:dyDescent="0.25">
      <c r="A86" s="18">
        <v>61.204939847809861</v>
      </c>
    </row>
    <row r="87" spans="1:1" ht="25" customHeight="1" x14ac:dyDescent="0.25">
      <c r="A87" s="18">
        <v>30.712805609794103</v>
      </c>
    </row>
    <row r="88" spans="1:1" ht="25" customHeight="1" x14ac:dyDescent="0.25">
      <c r="A88" s="18">
        <v>51.861494525023879</v>
      </c>
    </row>
    <row r="89" spans="1:1" ht="25" customHeight="1" x14ac:dyDescent="0.25">
      <c r="A89" s="18">
        <v>54.918184385449301</v>
      </c>
    </row>
    <row r="90" spans="1:1" ht="25" customHeight="1" x14ac:dyDescent="0.25">
      <c r="A90" s="18">
        <v>32.623603626472288</v>
      </c>
    </row>
    <row r="91" spans="1:1" ht="25" customHeight="1" x14ac:dyDescent="0.25">
      <c r="A91" s="18">
        <v>45.728197050296096</v>
      </c>
    </row>
    <row r="92" spans="1:1" ht="25" customHeight="1" x14ac:dyDescent="0.25">
      <c r="A92" s="18">
        <v>43.597926883139415</v>
      </c>
    </row>
    <row r="93" spans="1:1" ht="25" customHeight="1" x14ac:dyDescent="0.25">
      <c r="A93" s="18">
        <v>23.030243265509871</v>
      </c>
    </row>
    <row r="94" spans="1:1" ht="25" customHeight="1" x14ac:dyDescent="0.25">
      <c r="A94" s="18">
        <v>56.656211338615392</v>
      </c>
    </row>
    <row r="95" spans="1:1" ht="25" customHeight="1" x14ac:dyDescent="0.25">
      <c r="A95" s="18">
        <v>58.795607188661208</v>
      </c>
    </row>
    <row r="96" spans="1:1" ht="25" customHeight="1" x14ac:dyDescent="0.25">
      <c r="A96" s="18">
        <v>45.169194495007787</v>
      </c>
    </row>
    <row r="97" spans="1:1" ht="25" customHeight="1" x14ac:dyDescent="0.25">
      <c r="A97" s="18">
        <v>58.697729354499721</v>
      </c>
    </row>
    <row r="98" spans="1:1" ht="25" customHeight="1" x14ac:dyDescent="0.25">
      <c r="A98" s="18">
        <v>36.002693637123954</v>
      </c>
    </row>
    <row r="99" spans="1:1" ht="25" customHeight="1" x14ac:dyDescent="0.25">
      <c r="A99" s="18">
        <v>48.499856032151719</v>
      </c>
    </row>
    <row r="100" spans="1:1" ht="25" customHeight="1" x14ac:dyDescent="0.25">
      <c r="A100" s="18">
        <v>55.574792339894898</v>
      </c>
    </row>
    <row r="101" spans="1:1" ht="25" customHeight="1" x14ac:dyDescent="0.25">
      <c r="A101" s="18">
        <v>46.620051006744809</v>
      </c>
    </row>
    <row r="102" spans="1:1" ht="25" customHeight="1" x14ac:dyDescent="0.25">
      <c r="A102" s="18">
        <v>35.192832980731971</v>
      </c>
    </row>
    <row r="103" spans="1:1" ht="25" customHeight="1" x14ac:dyDescent="0.25">
      <c r="A103" s="18">
        <v>45.186132660524521</v>
      </c>
    </row>
    <row r="104" spans="1:1" ht="25" customHeight="1" x14ac:dyDescent="0.25">
      <c r="A104" s="18">
        <v>41.440002205863252</v>
      </c>
    </row>
    <row r="105" spans="1:1" ht="25" customHeight="1" x14ac:dyDescent="0.25">
      <c r="A105" s="18">
        <v>56.867720158468678</v>
      </c>
    </row>
    <row r="106" spans="1:1" ht="25" customHeight="1" x14ac:dyDescent="0.25">
      <c r="A106" s="18">
        <v>53.295696930395053</v>
      </c>
    </row>
    <row r="107" spans="1:1" ht="25" customHeight="1" x14ac:dyDescent="0.25">
      <c r="A107" s="18">
        <v>64.889311035448912</v>
      </c>
    </row>
    <row r="108" spans="1:1" ht="25" customHeight="1" x14ac:dyDescent="0.25">
      <c r="A108" s="18">
        <v>54.26200612782938</v>
      </c>
    </row>
    <row r="109" spans="1:1" ht="25" customHeight="1" x14ac:dyDescent="0.25">
      <c r="A109" s="18">
        <v>52.544742047961151</v>
      </c>
    </row>
    <row r="110" spans="1:1" ht="25" customHeight="1" x14ac:dyDescent="0.25">
      <c r="A110" s="18">
        <v>40.523359873000345</v>
      </c>
    </row>
    <row r="111" spans="1:1" ht="25" customHeight="1" x14ac:dyDescent="0.25">
      <c r="A111" s="18">
        <v>46.446031997827333</v>
      </c>
    </row>
    <row r="112" spans="1:1" ht="25" customHeight="1" x14ac:dyDescent="0.25">
      <c r="A112" s="18">
        <v>51.779561027162579</v>
      </c>
    </row>
    <row r="113" spans="1:1" ht="25" customHeight="1" x14ac:dyDescent="0.25">
      <c r="A113" s="18">
        <v>49.014194362670722</v>
      </c>
    </row>
    <row r="114" spans="1:1" ht="25" customHeight="1" x14ac:dyDescent="0.25">
      <c r="A114" s="18">
        <v>61.819034752771493</v>
      </c>
    </row>
    <row r="115" spans="1:1" ht="25" customHeight="1" x14ac:dyDescent="0.25">
      <c r="A115" s="18">
        <v>29.985690829060811</v>
      </c>
    </row>
    <row r="116" spans="1:1" ht="25" customHeight="1" x14ac:dyDescent="0.25">
      <c r="A116" s="18">
        <v>53.876783794405526</v>
      </c>
    </row>
    <row r="117" spans="1:1" ht="25" customHeight="1" x14ac:dyDescent="0.25">
      <c r="A117" s="18">
        <v>61.539812338110224</v>
      </c>
    </row>
    <row r="118" spans="1:1" ht="25" customHeight="1" x14ac:dyDescent="0.25">
      <c r="A118" s="18">
        <v>43.974827192966821</v>
      </c>
    </row>
    <row r="119" spans="1:1" ht="25" customHeight="1" x14ac:dyDescent="0.25">
      <c r="A119" s="18">
        <v>45.551346114953439</v>
      </c>
    </row>
    <row r="120" spans="1:1" ht="25" customHeight="1" x14ac:dyDescent="0.25">
      <c r="A120" s="18">
        <v>50.084261318972246</v>
      </c>
    </row>
    <row r="121" spans="1:1" ht="25" customHeight="1" x14ac:dyDescent="0.25">
      <c r="A121" s="18">
        <v>62.01638668237868</v>
      </c>
    </row>
    <row r="122" spans="1:1" ht="25" customHeight="1" x14ac:dyDescent="0.25">
      <c r="A122" s="18">
        <v>56.175165413494142</v>
      </c>
    </row>
    <row r="123" spans="1:1" ht="25" customHeight="1" x14ac:dyDescent="0.25">
      <c r="A123" s="18">
        <v>47.456388751873405</v>
      </c>
    </row>
    <row r="124" spans="1:1" ht="25" customHeight="1" x14ac:dyDescent="0.25">
      <c r="A124" s="18">
        <v>23.038518892969723</v>
      </c>
    </row>
    <row r="125" spans="1:1" ht="25" customHeight="1" x14ac:dyDescent="0.25">
      <c r="A125" s="18">
        <v>51.998571819711955</v>
      </c>
    </row>
    <row r="126" spans="1:1" ht="25" customHeight="1" x14ac:dyDescent="0.25">
      <c r="A126" s="18">
        <v>44.601782349880828</v>
      </c>
    </row>
    <row r="127" spans="1:1" ht="25" customHeight="1" x14ac:dyDescent="0.25">
      <c r="A127" s="18">
        <v>62.587679284555179</v>
      </c>
    </row>
    <row r="128" spans="1:1" ht="25" customHeight="1" x14ac:dyDescent="0.25">
      <c r="A128" s="18">
        <v>47.981402959431179</v>
      </c>
    </row>
    <row r="129" spans="1:1" ht="25" customHeight="1" x14ac:dyDescent="0.25">
      <c r="A129" s="18">
        <v>57.746497474145698</v>
      </c>
    </row>
    <row r="130" spans="1:1" ht="25" customHeight="1" x14ac:dyDescent="0.25">
      <c r="A130" s="18">
        <v>39.268318019440855</v>
      </c>
    </row>
    <row r="131" spans="1:1" ht="25" customHeight="1" x14ac:dyDescent="0.25">
      <c r="A131" s="18">
        <v>40.593793682408517</v>
      </c>
    </row>
    <row r="132" spans="1:1" ht="25" customHeight="1" x14ac:dyDescent="0.25">
      <c r="A132" s="18">
        <v>68.981146636466704</v>
      </c>
    </row>
    <row r="133" spans="1:1" ht="25" customHeight="1" x14ac:dyDescent="0.25">
      <c r="A133" s="18">
        <v>52.193130853285872</v>
      </c>
    </row>
    <row r="134" spans="1:1" ht="25" customHeight="1" x14ac:dyDescent="0.25">
      <c r="A134" s="18">
        <v>33.76091170487512</v>
      </c>
    </row>
    <row r="135" spans="1:1" ht="25" customHeight="1" x14ac:dyDescent="0.25">
      <c r="A135" s="18">
        <v>50.171022483272182</v>
      </c>
    </row>
    <row r="136" spans="1:1" ht="25" customHeight="1" x14ac:dyDescent="0.25">
      <c r="A136" s="18">
        <v>60.620977113570738</v>
      </c>
    </row>
    <row r="137" spans="1:1" ht="25" customHeight="1" x14ac:dyDescent="0.25">
      <c r="A137" s="18">
        <v>39.784466650531179</v>
      </c>
    </row>
    <row r="138" spans="1:1" ht="25" customHeight="1" x14ac:dyDescent="0.25">
      <c r="A138" s="18">
        <v>63.595008502574217</v>
      </c>
    </row>
    <row r="139" spans="1:1" ht="25" customHeight="1" x14ac:dyDescent="0.25">
      <c r="A139" s="18">
        <v>50.529974380471813</v>
      </c>
    </row>
    <row r="140" spans="1:1" ht="25" customHeight="1" x14ac:dyDescent="0.25">
      <c r="A140" s="18">
        <v>44.190483929113618</v>
      </c>
    </row>
    <row r="141" spans="1:1" ht="25" customHeight="1" x14ac:dyDescent="0.25">
      <c r="A141" s="18">
        <v>53.542574514794453</v>
      </c>
    </row>
    <row r="142" spans="1:1" ht="25" customHeight="1" x14ac:dyDescent="0.25">
      <c r="A142" s="18">
        <v>39.477142117733074</v>
      </c>
    </row>
    <row r="143" spans="1:1" ht="25" customHeight="1" x14ac:dyDescent="0.25">
      <c r="A143" s="18">
        <v>43.732251991134852</v>
      </c>
    </row>
    <row r="144" spans="1:1" ht="25" customHeight="1" x14ac:dyDescent="0.25">
      <c r="A144" s="18">
        <v>41.959239458331346</v>
      </c>
    </row>
    <row r="145" spans="1:1" ht="25" customHeight="1" x14ac:dyDescent="0.25">
      <c r="A145" s="18">
        <v>38.792495139376115</v>
      </c>
    </row>
    <row r="146" spans="1:1" ht="25" customHeight="1" x14ac:dyDescent="0.25">
      <c r="A146" s="18">
        <v>45.854655573468918</v>
      </c>
    </row>
    <row r="147" spans="1:1" ht="25" customHeight="1" x14ac:dyDescent="0.25">
      <c r="A147" s="18">
        <v>60.354771536885288</v>
      </c>
    </row>
    <row r="148" spans="1:1" ht="25" customHeight="1" x14ac:dyDescent="0.25">
      <c r="A148" s="18">
        <v>62.219049231687123</v>
      </c>
    </row>
    <row r="149" spans="1:1" ht="25" customHeight="1" x14ac:dyDescent="0.25">
      <c r="A149" s="18">
        <v>45.52130275469495</v>
      </c>
    </row>
    <row r="150" spans="1:1" ht="25" customHeight="1" x14ac:dyDescent="0.25">
      <c r="A150" s="18">
        <v>49.924428774898615</v>
      </c>
    </row>
    <row r="151" spans="1:1" ht="25" customHeight="1" x14ac:dyDescent="0.25">
      <c r="A151" s="18">
        <v>37.764960053846963</v>
      </c>
    </row>
    <row r="152" spans="1:1" ht="25" customHeight="1" x14ac:dyDescent="0.25">
      <c r="A152" s="18">
        <v>51.658304855015182</v>
      </c>
    </row>
    <row r="153" spans="1:1" ht="25" customHeight="1" x14ac:dyDescent="0.25">
      <c r="A153" s="18">
        <v>29.707599198619079</v>
      </c>
    </row>
    <row r="154" spans="1:1" ht="25" customHeight="1" x14ac:dyDescent="0.25">
      <c r="A154" s="18">
        <v>46.231772923103257</v>
      </c>
    </row>
    <row r="155" spans="1:1" ht="25" customHeight="1" x14ac:dyDescent="0.25">
      <c r="A155" s="18">
        <v>55.298751839191588</v>
      </c>
    </row>
    <row r="156" spans="1:1" ht="25" customHeight="1" x14ac:dyDescent="0.25">
      <c r="A156" s="18">
        <v>41.922572445910873</v>
      </c>
    </row>
    <row r="157" spans="1:1" ht="25" customHeight="1" x14ac:dyDescent="0.25">
      <c r="A157" s="18">
        <v>48.262933858575977</v>
      </c>
    </row>
    <row r="158" spans="1:1" ht="25" customHeight="1" x14ac:dyDescent="0.25">
      <c r="A158" s="18">
        <v>44.476607929252594</v>
      </c>
    </row>
    <row r="159" spans="1:1" ht="25" customHeight="1" x14ac:dyDescent="0.25">
      <c r="A159" s="18">
        <v>48.533536089568322</v>
      </c>
    </row>
    <row r="160" spans="1:1" ht="25" customHeight="1" x14ac:dyDescent="0.25">
      <c r="A160" s="18">
        <v>50.891699221834102</v>
      </c>
    </row>
    <row r="161" spans="1:1" ht="25" customHeight="1" x14ac:dyDescent="0.25">
      <c r="A161" s="18">
        <v>55.942113835665133</v>
      </c>
    </row>
    <row r="162" spans="1:1" ht="25" customHeight="1" x14ac:dyDescent="0.25">
      <c r="A162" s="18">
        <v>46.056943456482507</v>
      </c>
    </row>
    <row r="163" spans="1:1" ht="25" customHeight="1" x14ac:dyDescent="0.25">
      <c r="A163" s="18">
        <v>58.216244888538114</v>
      </c>
    </row>
    <row r="164" spans="1:1" ht="25" customHeight="1" x14ac:dyDescent="0.25">
      <c r="A164" s="18">
        <v>52.217003100011731</v>
      </c>
    </row>
    <row r="165" spans="1:1" ht="25" customHeight="1" x14ac:dyDescent="0.25">
      <c r="A165" s="18">
        <v>48.210090208151811</v>
      </c>
    </row>
    <row r="166" spans="1:1" ht="25" customHeight="1" x14ac:dyDescent="0.25">
      <c r="A166" s="18">
        <v>62.0879827797365</v>
      </c>
    </row>
    <row r="167" spans="1:1" ht="25" customHeight="1" x14ac:dyDescent="0.25">
      <c r="A167" s="18">
        <v>64.228945367396022</v>
      </c>
    </row>
    <row r="168" spans="1:1" ht="25" customHeight="1" x14ac:dyDescent="0.25">
      <c r="A168" s="18">
        <v>20.131492243533419</v>
      </c>
    </row>
    <row r="169" spans="1:1" ht="25" customHeight="1" x14ac:dyDescent="0.25">
      <c r="A169" s="18">
        <v>110.64886999472245</v>
      </c>
    </row>
    <row r="170" spans="1:1" ht="25" customHeight="1" x14ac:dyDescent="0.25">
      <c r="A170" s="18">
        <v>32.941935085315933</v>
      </c>
    </row>
    <row r="171" spans="1:1" ht="25" customHeight="1" x14ac:dyDescent="0.25">
      <c r="A171" s="18">
        <v>38.163113947951629</v>
      </c>
    </row>
    <row r="172" spans="1:1" ht="25" customHeight="1" x14ac:dyDescent="0.25">
      <c r="A172" s="18">
        <v>28.014152026886876</v>
      </c>
    </row>
    <row r="173" spans="1:1" ht="25" customHeight="1" x14ac:dyDescent="0.25">
      <c r="A173" s="18">
        <v>37.31657769048735</v>
      </c>
    </row>
    <row r="174" spans="1:1" ht="25" customHeight="1" x14ac:dyDescent="0.25">
      <c r="A174" s="18">
        <v>62.196798206891565</v>
      </c>
    </row>
    <row r="175" spans="1:1" ht="25" customHeight="1" x14ac:dyDescent="0.25">
      <c r="A175" s="18">
        <v>71.437812193563587</v>
      </c>
    </row>
    <row r="176" spans="1:1" ht="25" customHeight="1" x14ac:dyDescent="0.25">
      <c r="A176" s="18">
        <v>60.833312973349301</v>
      </c>
    </row>
    <row r="177" spans="1:1" ht="25" customHeight="1" x14ac:dyDescent="0.25">
      <c r="A177" s="18">
        <v>47.624045845330549</v>
      </c>
    </row>
    <row r="178" spans="1:1" ht="25" customHeight="1" x14ac:dyDescent="0.25">
      <c r="A178" s="18">
        <v>47.969146974682602</v>
      </c>
    </row>
    <row r="179" spans="1:1" ht="25" customHeight="1" x14ac:dyDescent="0.25">
      <c r="A179" s="18">
        <v>41.411513183912675</v>
      </c>
    </row>
    <row r="180" spans="1:1" ht="25" customHeight="1" x14ac:dyDescent="0.25">
      <c r="A180" s="18">
        <v>40.775685771027305</v>
      </c>
    </row>
    <row r="181" spans="1:1" ht="25" customHeight="1" x14ac:dyDescent="0.25">
      <c r="A181" s="18">
        <v>37.87482306899652</v>
      </c>
    </row>
    <row r="182" spans="1:1" ht="25" customHeight="1" x14ac:dyDescent="0.25">
      <c r="A182" s="18">
        <v>36.109009913511997</v>
      </c>
    </row>
    <row r="183" spans="1:1" ht="25" customHeight="1" x14ac:dyDescent="0.25">
      <c r="A183" s="18">
        <v>58.135307145492682</v>
      </c>
    </row>
    <row r="184" spans="1:1" ht="25" customHeight="1" x14ac:dyDescent="0.25">
      <c r="A184" s="18">
        <v>66.807164265069304</v>
      </c>
    </row>
    <row r="185" spans="1:1" ht="25" customHeight="1" x14ac:dyDescent="0.25">
      <c r="A185" s="18">
        <v>53.720121887290681</v>
      </c>
    </row>
    <row r="186" spans="1:1" ht="25" customHeight="1" x14ac:dyDescent="0.25">
      <c r="A186" s="18">
        <v>62.774840258291775</v>
      </c>
    </row>
    <row r="187" spans="1:1" ht="25" customHeight="1" x14ac:dyDescent="0.25">
      <c r="A187" s="18">
        <v>47.137994499823385</v>
      </c>
    </row>
    <row r="188" spans="1:1" ht="25" customHeight="1" x14ac:dyDescent="0.25">
      <c r="A188" s="18">
        <v>42.151912174740652</v>
      </c>
    </row>
    <row r="189" spans="1:1" ht="25" customHeight="1" x14ac:dyDescent="0.25">
      <c r="A189" s="18">
        <v>51.059677931739131</v>
      </c>
    </row>
    <row r="190" spans="1:1" ht="25" customHeight="1" x14ac:dyDescent="0.25">
      <c r="A190" s="18">
        <v>28.741581848902054</v>
      </c>
    </row>
    <row r="191" spans="1:1" ht="25" customHeight="1" x14ac:dyDescent="0.25">
      <c r="A191" s="18">
        <v>41.54036883231511</v>
      </c>
    </row>
    <row r="192" spans="1:1" ht="25" customHeight="1" x14ac:dyDescent="0.25">
      <c r="A192" s="18">
        <v>40.373172130813913</v>
      </c>
    </row>
    <row r="193" spans="1:1" ht="25" customHeight="1" x14ac:dyDescent="0.25">
      <c r="A193" s="18">
        <v>55.702822738870395</v>
      </c>
    </row>
    <row r="194" spans="1:1" ht="25" customHeight="1" x14ac:dyDescent="0.25">
      <c r="A194" s="18">
        <v>11.42434803408441</v>
      </c>
    </row>
    <row r="195" spans="1:1" ht="25" customHeight="1" x14ac:dyDescent="0.25">
      <c r="A195" s="18">
        <v>49.053571153044992</v>
      </c>
    </row>
    <row r="196" spans="1:1" ht="25" customHeight="1" x14ac:dyDescent="0.25">
      <c r="A196" s="18">
        <v>45.577680998383187</v>
      </c>
    </row>
    <row r="197" spans="1:1" ht="25" customHeight="1" x14ac:dyDescent="0.25">
      <c r="A197" s="18">
        <v>39.826789789901085</v>
      </c>
    </row>
    <row r="198" spans="1:1" ht="25" customHeight="1" x14ac:dyDescent="0.25">
      <c r="A198" s="18">
        <v>38.979676161116856</v>
      </c>
    </row>
    <row r="199" spans="1:1" ht="25" customHeight="1" x14ac:dyDescent="0.25">
      <c r="A199" s="18">
        <v>51.981276736960531</v>
      </c>
    </row>
    <row r="200" spans="1:1" ht="25" customHeight="1" x14ac:dyDescent="0.25">
      <c r="A200" s="18">
        <v>20.98298801463104</v>
      </c>
    </row>
    <row r="201" spans="1:1" ht="25" customHeight="1" x14ac:dyDescent="0.25">
      <c r="A201" s="18">
        <v>46.144000858098984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65B5-5BFB-4253-9F1C-6FC18720DA8E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88</v>
      </c>
      <c r="C1" s="15" t="s">
        <v>46</v>
      </c>
    </row>
    <row r="2" spans="1:3" ht="25" customHeight="1" x14ac:dyDescent="0.25">
      <c r="A2" s="18">
        <v>36.276933564652332</v>
      </c>
      <c r="C2" s="17" t="s">
        <v>89</v>
      </c>
    </row>
    <row r="3" spans="1:3" ht="25" customHeight="1" x14ac:dyDescent="0.25">
      <c r="A3" s="18">
        <v>37.212483542398708</v>
      </c>
      <c r="C3" s="16"/>
    </row>
    <row r="4" spans="1:3" ht="25" customHeight="1" x14ac:dyDescent="0.25">
      <c r="A4" s="18">
        <v>35.639479476123725</v>
      </c>
      <c r="C4" s="17" t="s">
        <v>90</v>
      </c>
    </row>
    <row r="5" spans="1:3" ht="25" customHeight="1" x14ac:dyDescent="0.25">
      <c r="A5" s="18">
        <v>35.015683039221358</v>
      </c>
      <c r="C5" s="16"/>
    </row>
    <row r="6" spans="1:3" ht="25" customHeight="1" x14ac:dyDescent="0.25">
      <c r="A6" s="18">
        <v>38.973432309598977</v>
      </c>
      <c r="C6" s="16"/>
    </row>
    <row r="7" spans="1:3" ht="25" customHeight="1" x14ac:dyDescent="0.25">
      <c r="A7" s="18">
        <v>35.288905299842419</v>
      </c>
      <c r="C7" s="16"/>
    </row>
    <row r="8" spans="1:3" ht="25" customHeight="1" x14ac:dyDescent="0.25">
      <c r="A8" s="18">
        <v>43.675716818946363</v>
      </c>
    </row>
    <row r="9" spans="1:3" ht="25" customHeight="1" x14ac:dyDescent="0.25">
      <c r="A9" s="18">
        <v>39.659870499249976</v>
      </c>
    </row>
    <row r="10" spans="1:3" ht="25" customHeight="1" x14ac:dyDescent="0.25">
      <c r="A10" s="18">
        <v>28.705085302838512</v>
      </c>
    </row>
    <row r="11" spans="1:3" ht="25" customHeight="1" x14ac:dyDescent="0.25">
      <c r="A11" s="18">
        <v>46.113870484277946</v>
      </c>
    </row>
    <row r="12" spans="1:3" ht="25" customHeight="1" x14ac:dyDescent="0.25">
      <c r="A12" s="18">
        <v>32.624634396630668</v>
      </c>
    </row>
    <row r="13" spans="1:3" ht="25" customHeight="1" x14ac:dyDescent="0.25">
      <c r="A13" s="18">
        <v>29.600658843246485</v>
      </c>
    </row>
    <row r="14" spans="1:3" ht="25" customHeight="1" x14ac:dyDescent="0.25">
      <c r="A14" s="18">
        <v>40.036980480828731</v>
      </c>
    </row>
    <row r="15" spans="1:3" ht="25" customHeight="1" x14ac:dyDescent="0.25">
      <c r="A15" s="18">
        <v>34.70426640911549</v>
      </c>
    </row>
    <row r="16" spans="1:3" ht="25" customHeight="1" x14ac:dyDescent="0.25">
      <c r="A16" s="18">
        <v>37.781947730172071</v>
      </c>
    </row>
    <row r="17" spans="1:1" ht="25" customHeight="1" x14ac:dyDescent="0.25">
      <c r="A17" s="18">
        <v>34.479018435346106</v>
      </c>
    </row>
    <row r="18" spans="1:1" ht="25" customHeight="1" x14ac:dyDescent="0.25">
      <c r="A18" s="18">
        <v>47.176194669335828</v>
      </c>
    </row>
    <row r="19" spans="1:1" ht="25" customHeight="1" x14ac:dyDescent="0.25">
      <c r="A19" s="18">
        <v>41.85250135784122</v>
      </c>
    </row>
    <row r="20" spans="1:1" ht="25" customHeight="1" x14ac:dyDescent="0.25">
      <c r="A20" s="18">
        <v>34.338404272432449</v>
      </c>
    </row>
    <row r="21" spans="1:1" ht="25" customHeight="1" x14ac:dyDescent="0.25">
      <c r="A21" s="18">
        <v>40.546205317695261</v>
      </c>
    </row>
    <row r="22" spans="1:1" ht="25" customHeight="1" x14ac:dyDescent="0.25">
      <c r="A22" s="18">
        <v>41.98711328472664</v>
      </c>
    </row>
    <row r="23" spans="1:1" ht="25" customHeight="1" x14ac:dyDescent="0.25">
      <c r="A23" s="18">
        <v>43.288398439143975</v>
      </c>
    </row>
    <row r="24" spans="1:1" ht="25" customHeight="1" x14ac:dyDescent="0.25">
      <c r="A24" s="18">
        <v>43.454574684605518</v>
      </c>
    </row>
    <row r="25" spans="1:1" ht="25" customHeight="1" x14ac:dyDescent="0.25">
      <c r="A25" s="18">
        <v>38.05419126548675</v>
      </c>
    </row>
    <row r="26" spans="1:1" ht="25" customHeight="1" x14ac:dyDescent="0.25">
      <c r="A26" s="18">
        <v>43.345643923664909</v>
      </c>
    </row>
    <row r="27" spans="1:1" ht="25" customHeight="1" x14ac:dyDescent="0.25">
      <c r="A27" s="18">
        <v>40.602826762940104</v>
      </c>
    </row>
    <row r="28" spans="1:1" ht="25" customHeight="1" x14ac:dyDescent="0.25">
      <c r="A28" s="18">
        <v>35.449857059653674</v>
      </c>
    </row>
    <row r="29" spans="1:1" ht="25" customHeight="1" x14ac:dyDescent="0.25">
      <c r="A29" s="18">
        <v>36.965660500573406</v>
      </c>
    </row>
    <row r="30" spans="1:1" ht="25" customHeight="1" x14ac:dyDescent="0.25">
      <c r="A30" s="18">
        <v>38.494861421933109</v>
      </c>
    </row>
    <row r="31" spans="1:1" ht="25" customHeight="1" x14ac:dyDescent="0.25">
      <c r="A31" s="18">
        <v>37.043023220290131</v>
      </c>
    </row>
    <row r="32" spans="1:1" ht="25" customHeight="1" x14ac:dyDescent="0.25">
      <c r="A32" s="18">
        <v>31.133231850280417</v>
      </c>
    </row>
    <row r="33" spans="1:1" ht="25" customHeight="1" x14ac:dyDescent="0.25">
      <c r="A33" s="18">
        <v>26.547409544307861</v>
      </c>
    </row>
    <row r="34" spans="1:1" ht="25" customHeight="1" x14ac:dyDescent="0.25">
      <c r="A34" s="18">
        <v>25.231197992869959</v>
      </c>
    </row>
    <row r="35" spans="1:1" ht="25" customHeight="1" x14ac:dyDescent="0.25">
      <c r="A35" s="18">
        <v>34.240362923682653</v>
      </c>
    </row>
    <row r="36" spans="1:1" ht="25" customHeight="1" x14ac:dyDescent="0.25">
      <c r="A36" s="18">
        <v>30.949089105423791</v>
      </c>
    </row>
    <row r="37" spans="1:1" ht="25" customHeight="1" x14ac:dyDescent="0.25">
      <c r="A37" s="18">
        <v>37.585267238271342</v>
      </c>
    </row>
    <row r="38" spans="1:1" ht="25" customHeight="1" x14ac:dyDescent="0.25">
      <c r="A38" s="18">
        <v>39.673734962202417</v>
      </c>
    </row>
    <row r="39" spans="1:1" ht="25" customHeight="1" x14ac:dyDescent="0.25">
      <c r="A39" s="18">
        <v>39.408101091742523</v>
      </c>
    </row>
    <row r="40" spans="1:1" ht="25" customHeight="1" x14ac:dyDescent="0.25">
      <c r="A40" s="18">
        <v>33.457981885760276</v>
      </c>
    </row>
    <row r="41" spans="1:1" ht="25" customHeight="1" x14ac:dyDescent="0.25">
      <c r="A41" s="18">
        <v>33.556803869418218</v>
      </c>
    </row>
    <row r="42" spans="1:1" ht="25" customHeight="1" x14ac:dyDescent="0.25">
      <c r="A42" s="18">
        <v>38.341489215237772</v>
      </c>
    </row>
    <row r="43" spans="1:1" ht="25" customHeight="1" x14ac:dyDescent="0.25">
      <c r="A43" s="18">
        <v>43.443655483244918</v>
      </c>
    </row>
    <row r="44" spans="1:1" ht="25" customHeight="1" x14ac:dyDescent="0.25">
      <c r="A44" s="18">
        <v>32.544513154120381</v>
      </c>
    </row>
    <row r="45" spans="1:1" ht="25" customHeight="1" x14ac:dyDescent="0.25">
      <c r="A45" s="18">
        <v>30.836390642576227</v>
      </c>
    </row>
    <row r="46" spans="1:1" ht="25" customHeight="1" x14ac:dyDescent="0.25">
      <c r="A46" s="18">
        <v>33.085893909088711</v>
      </c>
    </row>
    <row r="47" spans="1:1" ht="25" customHeight="1" x14ac:dyDescent="0.25">
      <c r="A47" s="18">
        <v>34.667812451561865</v>
      </c>
    </row>
    <row r="48" spans="1:1" ht="25" customHeight="1" x14ac:dyDescent="0.25">
      <c r="A48" s="18">
        <v>44.875501095715734</v>
      </c>
    </row>
    <row r="49" spans="1:1" ht="25" customHeight="1" x14ac:dyDescent="0.25">
      <c r="A49" s="18">
        <v>30.921848787560336</v>
      </c>
    </row>
    <row r="50" spans="1:1" ht="25" customHeight="1" x14ac:dyDescent="0.25">
      <c r="A50" s="18">
        <v>49.148823252143913</v>
      </c>
    </row>
    <row r="51" spans="1:1" ht="25" customHeight="1" x14ac:dyDescent="0.25">
      <c r="A51" s="18">
        <v>33.690535437127458</v>
      </c>
    </row>
    <row r="52" spans="1:1" ht="25" customHeight="1" x14ac:dyDescent="0.25">
      <c r="A52" s="18">
        <v>38.056780248257553</v>
      </c>
    </row>
    <row r="53" spans="1:1" ht="25" customHeight="1" x14ac:dyDescent="0.25">
      <c r="A53" s="18">
        <v>35.928017547539064</v>
      </c>
    </row>
    <row r="54" spans="1:1" ht="25" customHeight="1" x14ac:dyDescent="0.25">
      <c r="A54" s="18">
        <v>27.551339436887751</v>
      </c>
    </row>
    <row r="55" spans="1:1" ht="25" customHeight="1" x14ac:dyDescent="0.25">
      <c r="A55" s="18">
        <v>34.120468412276793</v>
      </c>
    </row>
    <row r="56" spans="1:1" ht="25" customHeight="1" x14ac:dyDescent="0.25">
      <c r="A56" s="18">
        <v>47.383916956604878</v>
      </c>
    </row>
    <row r="57" spans="1:1" ht="25" customHeight="1" x14ac:dyDescent="0.25">
      <c r="A57" s="18">
        <v>27.175412821590591</v>
      </c>
    </row>
    <row r="58" spans="1:1" ht="25" customHeight="1" x14ac:dyDescent="0.25">
      <c r="A58" s="18">
        <v>36.928034334868862</v>
      </c>
    </row>
    <row r="59" spans="1:1" ht="25" customHeight="1" x14ac:dyDescent="0.25">
      <c r="A59" s="18">
        <v>47.259996458911331</v>
      </c>
    </row>
    <row r="60" spans="1:1" ht="25" customHeight="1" x14ac:dyDescent="0.25">
      <c r="A60" s="18">
        <v>31.621974384651867</v>
      </c>
    </row>
    <row r="61" spans="1:1" ht="25" customHeight="1" x14ac:dyDescent="0.25">
      <c r="A61" s="18">
        <v>42.18066464773564</v>
      </c>
    </row>
    <row r="62" spans="1:1" ht="25" customHeight="1" x14ac:dyDescent="0.25">
      <c r="A62" s="18">
        <v>37.191211497401035</v>
      </c>
    </row>
    <row r="63" spans="1:1" ht="25" customHeight="1" x14ac:dyDescent="0.25">
      <c r="A63" s="18">
        <v>33.505605217495329</v>
      </c>
    </row>
    <row r="64" spans="1:1" ht="25" customHeight="1" x14ac:dyDescent="0.25">
      <c r="A64" s="18">
        <v>46.342692737621832</v>
      </c>
    </row>
    <row r="65" spans="1:1" ht="25" customHeight="1" x14ac:dyDescent="0.25">
      <c r="A65" s="18">
        <v>33.263402259259543</v>
      </c>
    </row>
    <row r="66" spans="1:1" ht="25" customHeight="1" x14ac:dyDescent="0.25">
      <c r="A66" s="18">
        <v>25.582255920098017</v>
      </c>
    </row>
    <row r="67" spans="1:1" ht="25" customHeight="1" x14ac:dyDescent="0.25">
      <c r="A67" s="18">
        <v>34.877706772836675</v>
      </c>
    </row>
    <row r="68" spans="1:1" ht="25" customHeight="1" x14ac:dyDescent="0.25">
      <c r="A68" s="18">
        <v>37.296362892278651</v>
      </c>
    </row>
    <row r="69" spans="1:1" ht="25" customHeight="1" x14ac:dyDescent="0.25">
      <c r="A69" s="18">
        <v>38.571324118181231</v>
      </c>
    </row>
    <row r="70" spans="1:1" ht="25" customHeight="1" x14ac:dyDescent="0.25">
      <c r="A70" s="18">
        <v>29.72673380533092</v>
      </c>
    </row>
    <row r="71" spans="1:1" ht="25" customHeight="1" x14ac:dyDescent="0.25">
      <c r="A71" s="18">
        <v>43.765248122025461</v>
      </c>
    </row>
    <row r="72" spans="1:1" ht="25" customHeight="1" x14ac:dyDescent="0.25">
      <c r="A72" s="18">
        <v>41.627080081287609</v>
      </c>
    </row>
    <row r="73" spans="1:1" ht="25" customHeight="1" x14ac:dyDescent="0.25">
      <c r="A73" s="18">
        <v>32.376537350320156</v>
      </c>
    </row>
    <row r="74" spans="1:1" ht="25" customHeight="1" x14ac:dyDescent="0.25">
      <c r="A74" s="18">
        <v>44.047178598305841</v>
      </c>
    </row>
    <row r="75" spans="1:1" ht="25" customHeight="1" x14ac:dyDescent="0.25">
      <c r="A75" s="18">
        <v>28.14708556984327</v>
      </c>
    </row>
    <row r="76" spans="1:1" ht="25" customHeight="1" x14ac:dyDescent="0.25">
      <c r="A76" s="18">
        <v>31.349846283299087</v>
      </c>
    </row>
    <row r="77" spans="1:1" ht="25" customHeight="1" x14ac:dyDescent="0.25">
      <c r="A77" s="18">
        <v>39.482689179392416</v>
      </c>
    </row>
    <row r="78" spans="1:1" ht="25" customHeight="1" x14ac:dyDescent="0.25">
      <c r="A78" s="18">
        <v>38.779652122860952</v>
      </c>
    </row>
    <row r="79" spans="1:1" ht="25" customHeight="1" x14ac:dyDescent="0.25">
      <c r="A79" s="18">
        <v>38.57886602882796</v>
      </c>
    </row>
    <row r="80" spans="1:1" ht="25" customHeight="1" x14ac:dyDescent="0.25">
      <c r="A80" s="18">
        <v>33.586484329082388</v>
      </c>
    </row>
    <row r="81" spans="1:1" ht="25" customHeight="1" x14ac:dyDescent="0.25">
      <c r="A81" s="18">
        <v>34.294519868213229</v>
      </c>
    </row>
    <row r="82" spans="1:1" ht="25" customHeight="1" x14ac:dyDescent="0.25">
      <c r="A82" s="18">
        <v>32.41271039383404</v>
      </c>
    </row>
    <row r="83" spans="1:1" ht="25" customHeight="1" x14ac:dyDescent="0.25">
      <c r="A83" s="18">
        <v>34.142570946496122</v>
      </c>
    </row>
    <row r="84" spans="1:1" ht="25" customHeight="1" x14ac:dyDescent="0.25">
      <c r="A84" s="18">
        <v>42.531292622997107</v>
      </c>
    </row>
    <row r="85" spans="1:1" ht="25" customHeight="1" x14ac:dyDescent="0.25">
      <c r="A85" s="18">
        <v>37.649086005167611</v>
      </c>
    </row>
    <row r="86" spans="1:1" ht="25" customHeight="1" x14ac:dyDescent="0.25">
      <c r="A86" s="18">
        <v>34.941076879313279</v>
      </c>
    </row>
    <row r="87" spans="1:1" ht="25" customHeight="1" x14ac:dyDescent="0.25">
      <c r="A87" s="18">
        <v>35.536828037063401</v>
      </c>
    </row>
    <row r="88" spans="1:1" ht="25" customHeight="1" x14ac:dyDescent="0.25">
      <c r="A88" s="18">
        <v>37.835441078784008</v>
      </c>
    </row>
    <row r="89" spans="1:1" ht="25" customHeight="1" x14ac:dyDescent="0.25">
      <c r="A89" s="18">
        <v>30.368649106778982</v>
      </c>
    </row>
    <row r="90" spans="1:1" ht="25" customHeight="1" x14ac:dyDescent="0.25">
      <c r="A90" s="18">
        <v>25.014262592330276</v>
      </c>
    </row>
    <row r="91" spans="1:1" ht="25" customHeight="1" x14ac:dyDescent="0.25">
      <c r="A91" s="18">
        <v>26.106646991745915</v>
      </c>
    </row>
    <row r="92" spans="1:1" ht="25" customHeight="1" x14ac:dyDescent="0.25">
      <c r="A92" s="18">
        <v>34.650840260671281</v>
      </c>
    </row>
    <row r="93" spans="1:1" ht="25" customHeight="1" x14ac:dyDescent="0.25">
      <c r="A93" s="18">
        <v>30.608793933373676</v>
      </c>
    </row>
    <row r="94" spans="1:1" ht="25" customHeight="1" x14ac:dyDescent="0.25">
      <c r="A94" s="18">
        <v>42.318676172716906</v>
      </c>
    </row>
    <row r="95" spans="1:1" ht="25" customHeight="1" x14ac:dyDescent="0.25">
      <c r="A95" s="18">
        <v>39.052077850681549</v>
      </c>
    </row>
    <row r="96" spans="1:1" ht="25" customHeight="1" x14ac:dyDescent="0.25">
      <c r="A96" s="18">
        <v>36.368162231612743</v>
      </c>
    </row>
    <row r="97" spans="1:1" ht="25" customHeight="1" x14ac:dyDescent="0.25">
      <c r="A97" s="18">
        <v>38.082545640745451</v>
      </c>
    </row>
    <row r="98" spans="1:1" ht="25" customHeight="1" x14ac:dyDescent="0.25">
      <c r="A98" s="18">
        <v>39.05160365476636</v>
      </c>
    </row>
    <row r="99" spans="1:1" ht="25" customHeight="1" x14ac:dyDescent="0.25">
      <c r="A99" s="18">
        <v>37.019542171432981</v>
      </c>
    </row>
    <row r="100" spans="1:1" ht="25" customHeight="1" x14ac:dyDescent="0.25">
      <c r="A100" s="18">
        <v>43.775316458262957</v>
      </c>
    </row>
    <row r="101" spans="1:1" ht="25" customHeight="1" x14ac:dyDescent="0.25">
      <c r="A101" s="18">
        <v>33.819535266324593</v>
      </c>
    </row>
    <row r="102" spans="1:1" ht="25" customHeight="1" x14ac:dyDescent="0.25">
      <c r="A102" s="18">
        <v>61.464097568870351</v>
      </c>
    </row>
    <row r="103" spans="1:1" ht="25" customHeight="1" x14ac:dyDescent="0.25">
      <c r="A103" s="18">
        <v>56.779055352698904</v>
      </c>
    </row>
    <row r="104" spans="1:1" ht="25" customHeight="1" x14ac:dyDescent="0.25">
      <c r="A104" s="18">
        <v>62.670398684427965</v>
      </c>
    </row>
    <row r="105" spans="1:1" ht="25" customHeight="1" x14ac:dyDescent="0.25">
      <c r="A105" s="18">
        <v>73.751809940192487</v>
      </c>
    </row>
    <row r="106" spans="1:1" ht="25" customHeight="1" x14ac:dyDescent="0.25">
      <c r="A106" s="18">
        <v>61.800843709988818</v>
      </c>
    </row>
    <row r="107" spans="1:1" ht="25" customHeight="1" x14ac:dyDescent="0.25">
      <c r="A107" s="18">
        <v>55.373944166260628</v>
      </c>
    </row>
    <row r="108" spans="1:1" ht="25" customHeight="1" x14ac:dyDescent="0.25">
      <c r="A108" s="18">
        <v>63.068204514980742</v>
      </c>
    </row>
    <row r="109" spans="1:1" ht="25" customHeight="1" x14ac:dyDescent="0.25">
      <c r="A109" s="18">
        <v>71.586076108806807</v>
      </c>
    </row>
    <row r="110" spans="1:1" ht="25" customHeight="1" x14ac:dyDescent="0.25">
      <c r="A110" s="18">
        <v>56.24082895519804</v>
      </c>
    </row>
    <row r="111" spans="1:1" ht="25" customHeight="1" x14ac:dyDescent="0.25">
      <c r="A111" s="18">
        <v>61.6753262137495</v>
      </c>
    </row>
    <row r="112" spans="1:1" ht="25" customHeight="1" x14ac:dyDescent="0.25">
      <c r="A112" s="18">
        <v>56.93632611495407</v>
      </c>
    </row>
    <row r="113" spans="1:1" ht="25" customHeight="1" x14ac:dyDescent="0.25">
      <c r="A113" s="18">
        <v>59.051523603020968</v>
      </c>
    </row>
    <row r="114" spans="1:1" ht="25" customHeight="1" x14ac:dyDescent="0.25">
      <c r="A114" s="18">
        <v>57.32545087575437</v>
      </c>
    </row>
    <row r="115" spans="1:1" ht="25" customHeight="1" x14ac:dyDescent="0.25">
      <c r="A115" s="18">
        <v>65.880727663462551</v>
      </c>
    </row>
    <row r="116" spans="1:1" ht="25" customHeight="1" x14ac:dyDescent="0.25">
      <c r="A116" s="18">
        <v>60.397191824618311</v>
      </c>
    </row>
    <row r="117" spans="1:1" ht="25" customHeight="1" x14ac:dyDescent="0.25">
      <c r="A117" s="18">
        <v>68.572389036669335</v>
      </c>
    </row>
    <row r="118" spans="1:1" ht="25" customHeight="1" x14ac:dyDescent="0.25">
      <c r="A118" s="18">
        <v>62.414335418119315</v>
      </c>
    </row>
    <row r="119" spans="1:1" ht="25" customHeight="1" x14ac:dyDescent="0.25">
      <c r="A119" s="18">
        <v>61.172005219132537</v>
      </c>
    </row>
    <row r="120" spans="1:1" ht="25" customHeight="1" x14ac:dyDescent="0.25">
      <c r="A120" s="18">
        <v>66.934417907137245</v>
      </c>
    </row>
    <row r="121" spans="1:1" ht="25" customHeight="1" x14ac:dyDescent="0.25">
      <c r="A121" s="18">
        <v>60.797748822549465</v>
      </c>
    </row>
    <row r="122" spans="1:1" ht="25" customHeight="1" x14ac:dyDescent="0.25">
      <c r="A122" s="18">
        <v>64.808955302109922</v>
      </c>
    </row>
    <row r="123" spans="1:1" ht="25" customHeight="1" x14ac:dyDescent="0.25">
      <c r="A123" s="18">
        <v>65.623525673374814</v>
      </c>
    </row>
    <row r="124" spans="1:1" ht="25" customHeight="1" x14ac:dyDescent="0.25">
      <c r="A124" s="18">
        <v>58.469063244083806</v>
      </c>
    </row>
    <row r="125" spans="1:1" ht="25" customHeight="1" x14ac:dyDescent="0.25">
      <c r="A125" s="18">
        <v>62.831208676459113</v>
      </c>
    </row>
    <row r="126" spans="1:1" ht="25" customHeight="1" x14ac:dyDescent="0.25">
      <c r="A126" s="18">
        <v>66.159947542461353</v>
      </c>
    </row>
    <row r="127" spans="1:1" ht="25" customHeight="1" x14ac:dyDescent="0.25">
      <c r="A127" s="18">
        <v>66.86970214005477</v>
      </c>
    </row>
    <row r="128" spans="1:1" ht="25" customHeight="1" x14ac:dyDescent="0.25">
      <c r="A128" s="18">
        <v>58.811440190429188</v>
      </c>
    </row>
    <row r="129" spans="1:1" ht="25" customHeight="1" x14ac:dyDescent="0.25">
      <c r="A129" s="18">
        <v>56.480164667592014</v>
      </c>
    </row>
    <row r="130" spans="1:1" ht="25" customHeight="1" x14ac:dyDescent="0.25">
      <c r="A130" s="18">
        <v>67.270150214608236</v>
      </c>
    </row>
    <row r="131" spans="1:1" ht="25" customHeight="1" x14ac:dyDescent="0.25">
      <c r="A131" s="18">
        <v>57.861621245659549</v>
      </c>
    </row>
    <row r="132" spans="1:1" ht="25" customHeight="1" x14ac:dyDescent="0.25">
      <c r="A132" s="18">
        <v>66.782331525938133</v>
      </c>
    </row>
    <row r="133" spans="1:1" ht="25" customHeight="1" x14ac:dyDescent="0.25">
      <c r="A133" s="18">
        <v>63.58405032228729</v>
      </c>
    </row>
    <row r="134" spans="1:1" ht="25" customHeight="1" x14ac:dyDescent="0.25">
      <c r="A134" s="18">
        <v>67.54402046997609</v>
      </c>
    </row>
    <row r="135" spans="1:1" ht="25" customHeight="1" x14ac:dyDescent="0.25">
      <c r="A135" s="18">
        <v>69.946875229688843</v>
      </c>
    </row>
    <row r="136" spans="1:1" ht="25" customHeight="1" x14ac:dyDescent="0.25">
      <c r="A136" s="18">
        <v>59.248140321978966</v>
      </c>
    </row>
    <row r="137" spans="1:1" ht="25" customHeight="1" x14ac:dyDescent="0.25">
      <c r="A137" s="18">
        <v>65.31387542060358</v>
      </c>
    </row>
    <row r="138" spans="1:1" ht="25" customHeight="1" x14ac:dyDescent="0.25">
      <c r="A138" s="18">
        <v>53.913691619685814</v>
      </c>
    </row>
    <row r="139" spans="1:1" ht="25" customHeight="1" x14ac:dyDescent="0.25">
      <c r="A139" s="18">
        <v>63.595214975168055</v>
      </c>
    </row>
    <row r="140" spans="1:1" ht="25" customHeight="1" x14ac:dyDescent="0.25">
      <c r="A140" s="18">
        <v>59.620405974427783</v>
      </c>
    </row>
    <row r="141" spans="1:1" ht="25" customHeight="1" x14ac:dyDescent="0.25">
      <c r="A141" s="18">
        <v>50.953337971226851</v>
      </c>
    </row>
    <row r="142" spans="1:1" ht="25" customHeight="1" x14ac:dyDescent="0.25">
      <c r="A142" s="18">
        <v>56.665762779172603</v>
      </c>
    </row>
    <row r="143" spans="1:1" ht="25" customHeight="1" x14ac:dyDescent="0.25">
      <c r="A143" s="18">
        <v>63.858801892323001</v>
      </c>
    </row>
    <row r="144" spans="1:1" ht="25" customHeight="1" x14ac:dyDescent="0.25">
      <c r="A144" s="18">
        <v>59.816653526960238</v>
      </c>
    </row>
    <row r="145" spans="1:1" ht="25" customHeight="1" x14ac:dyDescent="0.25">
      <c r="A145" s="18">
        <v>58.720316519026355</v>
      </c>
    </row>
    <row r="146" spans="1:1" ht="25" customHeight="1" x14ac:dyDescent="0.25">
      <c r="A146" s="18">
        <v>70.515316260734039</v>
      </c>
    </row>
    <row r="147" spans="1:1" ht="25" customHeight="1" x14ac:dyDescent="0.25">
      <c r="A147" s="18">
        <v>62.859127955355163</v>
      </c>
    </row>
    <row r="148" spans="1:1" ht="25" customHeight="1" x14ac:dyDescent="0.25">
      <c r="A148" s="18">
        <v>64.436237602234272</v>
      </c>
    </row>
    <row r="149" spans="1:1" ht="25" customHeight="1" x14ac:dyDescent="0.25">
      <c r="A149" s="18">
        <v>63.493875274325575</v>
      </c>
    </row>
    <row r="150" spans="1:1" ht="25" customHeight="1" x14ac:dyDescent="0.25">
      <c r="A150" s="18">
        <v>69.570450236903511</v>
      </c>
    </row>
    <row r="151" spans="1:1" ht="25" customHeight="1" x14ac:dyDescent="0.25">
      <c r="A151" s="18">
        <v>53.580864727368095</v>
      </c>
    </row>
    <row r="152" spans="1:1" ht="25" customHeight="1" x14ac:dyDescent="0.25">
      <c r="A152" s="18">
        <v>65.075354610557142</v>
      </c>
    </row>
    <row r="153" spans="1:1" ht="25" customHeight="1" x14ac:dyDescent="0.25">
      <c r="A153" s="18">
        <v>64.57519291077827</v>
      </c>
    </row>
    <row r="154" spans="1:1" ht="25" customHeight="1" x14ac:dyDescent="0.25">
      <c r="A154" s="18">
        <v>63.391643779972902</v>
      </c>
    </row>
    <row r="155" spans="1:1" ht="25" customHeight="1" x14ac:dyDescent="0.25">
      <c r="A155" s="18">
        <v>65.896750387576475</v>
      </c>
    </row>
    <row r="156" spans="1:1" ht="25" customHeight="1" x14ac:dyDescent="0.25">
      <c r="A156" s="18">
        <v>66.900185254800618</v>
      </c>
    </row>
    <row r="157" spans="1:1" ht="25" customHeight="1" x14ac:dyDescent="0.25">
      <c r="A157" s="18">
        <v>63.349568195108922</v>
      </c>
    </row>
    <row r="158" spans="1:1" ht="25" customHeight="1" x14ac:dyDescent="0.25">
      <c r="A158" s="18">
        <v>60.940862131249013</v>
      </c>
    </row>
    <row r="159" spans="1:1" ht="25" customHeight="1" x14ac:dyDescent="0.25">
      <c r="A159" s="18">
        <v>56.076199787454847</v>
      </c>
    </row>
    <row r="160" spans="1:1" ht="25" customHeight="1" x14ac:dyDescent="0.25">
      <c r="A160" s="18">
        <v>57.119036994174543</v>
      </c>
    </row>
    <row r="161" spans="1:1" ht="25" customHeight="1" x14ac:dyDescent="0.25">
      <c r="A161" s="18">
        <v>64.833109285659546</v>
      </c>
    </row>
    <row r="162" spans="1:1" ht="25" customHeight="1" x14ac:dyDescent="0.25">
      <c r="A162" s="18">
        <v>61.748600986346212</v>
      </c>
    </row>
    <row r="163" spans="1:1" ht="25" customHeight="1" x14ac:dyDescent="0.25">
      <c r="A163" s="18">
        <v>65.680457529471013</v>
      </c>
    </row>
    <row r="164" spans="1:1" ht="25" customHeight="1" x14ac:dyDescent="0.25">
      <c r="A164" s="18">
        <v>68.122561677959666</v>
      </c>
    </row>
    <row r="165" spans="1:1" ht="25" customHeight="1" x14ac:dyDescent="0.25">
      <c r="A165" s="18">
        <v>61.885813200223282</v>
      </c>
    </row>
    <row r="166" spans="1:1" ht="25" customHeight="1" x14ac:dyDescent="0.25">
      <c r="A166" s="18">
        <v>64.160723758977682</v>
      </c>
    </row>
    <row r="167" spans="1:1" ht="25" customHeight="1" x14ac:dyDescent="0.25">
      <c r="A167" s="18">
        <v>69.259878100937883</v>
      </c>
    </row>
    <row r="168" spans="1:1" ht="25" customHeight="1" x14ac:dyDescent="0.25">
      <c r="A168" s="18">
        <v>58.244589617257176</v>
      </c>
    </row>
    <row r="169" spans="1:1" ht="25" customHeight="1" x14ac:dyDescent="0.25">
      <c r="A169" s="18">
        <v>66.861575274173916</v>
      </c>
    </row>
    <row r="170" spans="1:1" ht="25" customHeight="1" x14ac:dyDescent="0.25">
      <c r="A170" s="18">
        <v>65.634588119505821</v>
      </c>
    </row>
    <row r="171" spans="1:1" ht="25" customHeight="1" x14ac:dyDescent="0.25">
      <c r="A171" s="18">
        <v>66.389064963591878</v>
      </c>
    </row>
    <row r="172" spans="1:1" ht="25" customHeight="1" x14ac:dyDescent="0.25">
      <c r="A172" s="18">
        <v>66.939233976508476</v>
      </c>
    </row>
    <row r="173" spans="1:1" ht="25" customHeight="1" x14ac:dyDescent="0.25">
      <c r="A173" s="18">
        <v>68.867062466027477</v>
      </c>
    </row>
    <row r="174" spans="1:1" ht="25" customHeight="1" x14ac:dyDescent="0.25">
      <c r="A174" s="18">
        <v>76.136767408424333</v>
      </c>
    </row>
    <row r="175" spans="1:1" ht="25" customHeight="1" x14ac:dyDescent="0.25">
      <c r="A175" s="18">
        <v>59.32192764987942</v>
      </c>
    </row>
    <row r="176" spans="1:1" ht="25" customHeight="1" x14ac:dyDescent="0.25">
      <c r="A176" s="18">
        <v>65.273688750755227</v>
      </c>
    </row>
    <row r="177" spans="1:1" ht="25" customHeight="1" x14ac:dyDescent="0.25">
      <c r="A177" s="18">
        <v>68.37882869420261</v>
      </c>
    </row>
    <row r="178" spans="1:1" ht="25" customHeight="1" x14ac:dyDescent="0.25">
      <c r="A178" s="18">
        <v>60.566493999237707</v>
      </c>
    </row>
    <row r="179" spans="1:1" ht="25" customHeight="1" x14ac:dyDescent="0.25">
      <c r="A179" s="18">
        <v>66.691112642045866</v>
      </c>
    </row>
    <row r="180" spans="1:1" ht="25" customHeight="1" x14ac:dyDescent="0.25">
      <c r="A180" s="18">
        <v>57.403228618526008</v>
      </c>
    </row>
    <row r="181" spans="1:1" ht="25" customHeight="1" x14ac:dyDescent="0.25">
      <c r="A181" s="18">
        <v>66.731718204712351</v>
      </c>
    </row>
    <row r="182" spans="1:1" ht="25" customHeight="1" x14ac:dyDescent="0.25">
      <c r="A182" s="18">
        <v>65.822301828076647</v>
      </c>
    </row>
    <row r="183" spans="1:1" ht="25" customHeight="1" x14ac:dyDescent="0.25">
      <c r="A183" s="18">
        <v>57.209747289593075</v>
      </c>
    </row>
    <row r="184" spans="1:1" ht="25" customHeight="1" x14ac:dyDescent="0.25">
      <c r="A184" s="18">
        <v>70.059378503963885</v>
      </c>
    </row>
    <row r="185" spans="1:1" ht="25" customHeight="1" x14ac:dyDescent="0.25">
      <c r="A185" s="18">
        <v>71.896074907338686</v>
      </c>
    </row>
    <row r="186" spans="1:1" ht="25" customHeight="1" x14ac:dyDescent="0.25">
      <c r="A186" s="18">
        <v>66.255976669970607</v>
      </c>
    </row>
    <row r="187" spans="1:1" ht="25" customHeight="1" x14ac:dyDescent="0.25">
      <c r="A187" s="18">
        <v>71.94521231132407</v>
      </c>
    </row>
    <row r="188" spans="1:1" ht="25" customHeight="1" x14ac:dyDescent="0.25">
      <c r="A188" s="18">
        <v>64.50975488507396</v>
      </c>
    </row>
    <row r="189" spans="1:1" ht="25" customHeight="1" x14ac:dyDescent="0.25">
      <c r="A189" s="18">
        <v>69.850486097663676</v>
      </c>
    </row>
    <row r="190" spans="1:1" ht="25" customHeight="1" x14ac:dyDescent="0.25">
      <c r="A190" s="18">
        <v>63.78498386336463</v>
      </c>
    </row>
    <row r="191" spans="1:1" ht="25" customHeight="1" x14ac:dyDescent="0.25">
      <c r="A191" s="18">
        <v>59.773307887165849</v>
      </c>
    </row>
    <row r="192" spans="1:1" ht="25" customHeight="1" x14ac:dyDescent="0.25">
      <c r="A192" s="18">
        <v>66.562126752602396</v>
      </c>
    </row>
    <row r="193" spans="1:1" ht="25" customHeight="1" x14ac:dyDescent="0.25">
      <c r="A193" s="18">
        <v>66.878580665469173</v>
      </c>
    </row>
    <row r="194" spans="1:1" ht="25" customHeight="1" x14ac:dyDescent="0.25">
      <c r="A194" s="18">
        <v>62.438097225255326</v>
      </c>
    </row>
    <row r="195" spans="1:1" ht="25" customHeight="1" x14ac:dyDescent="0.25">
      <c r="A195" s="18">
        <v>70.347692171195717</v>
      </c>
    </row>
    <row r="196" spans="1:1" ht="25" customHeight="1" x14ac:dyDescent="0.25">
      <c r="A196" s="18">
        <v>56.359576248860812</v>
      </c>
    </row>
    <row r="197" spans="1:1" ht="25" customHeight="1" x14ac:dyDescent="0.25">
      <c r="A197" s="18">
        <v>64.947474346662119</v>
      </c>
    </row>
    <row r="198" spans="1:1" ht="25" customHeight="1" x14ac:dyDescent="0.25">
      <c r="A198" s="18">
        <v>64.648923557647464</v>
      </c>
    </row>
    <row r="199" spans="1:1" ht="25" customHeight="1" x14ac:dyDescent="0.25">
      <c r="A199" s="18">
        <v>63.686025498670119</v>
      </c>
    </row>
    <row r="200" spans="1:1" ht="25" customHeight="1" x14ac:dyDescent="0.25">
      <c r="A200" s="18">
        <v>58.296193500596658</v>
      </c>
    </row>
    <row r="201" spans="1:1" ht="25" customHeight="1" x14ac:dyDescent="0.25">
      <c r="A201" s="18">
        <v>62.217355862155749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21</vt:i4>
      </vt:variant>
    </vt:vector>
  </HeadingPairs>
  <TitlesOfParts>
    <vt:vector size="21" baseType="lpstr">
      <vt:lpstr>Prehled</vt:lpstr>
      <vt:lpstr>Model</vt:lpstr>
      <vt:lpstr>QQ</vt:lpstr>
      <vt:lpstr>Z_skory</vt:lpstr>
      <vt:lpstr>Standardizace</vt:lpstr>
      <vt:lpstr>Normalizace</vt:lpstr>
      <vt:lpstr>Modely</vt:lpstr>
      <vt:lpstr>Skaly</vt:lpstr>
      <vt:lpstr>U01_reference</vt:lpstr>
      <vt:lpstr>U02_standardizace</vt:lpstr>
      <vt:lpstr>U03_model</vt:lpstr>
      <vt:lpstr>U04_plochy</vt:lpstr>
      <vt:lpstr>U05_percentily</vt:lpstr>
      <vt:lpstr>U06_zaokrouhleni</vt:lpstr>
      <vt:lpstr>U07_prevody</vt:lpstr>
      <vt:lpstr>U08_pasmo</vt:lpstr>
      <vt:lpstr>QQ_data</vt:lpstr>
      <vt:lpstr>Sim_normalni</vt:lpstr>
      <vt:lpstr>Sim_sikme</vt:lpstr>
      <vt:lpstr>Sim_chvosty</vt:lpstr>
      <vt:lpstr>Sim_smes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2026-10-16T20:08:51Z</dcterms:created>
  <dcterms:modified xsi:type="dcterms:W3CDTF">2026-10-16T20:09:02Z</dcterms:modified>
</cp:coreProperties>
</file>