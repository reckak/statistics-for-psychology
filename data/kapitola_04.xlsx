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 Projects\github\statistics-for-psychology\data\"/>
    </mc:Choice>
  </mc:AlternateContent>
  <xr:revisionPtr revIDLastSave="0" documentId="13_ncr:1_{95D840DD-B398-465B-A808-1F963C7440F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Model" sheetId="1" r:id="rId1"/>
    <sheet name="QQ" sheetId="2" r:id="rId2"/>
  </sheets>
  <definedNames>
    <definedName name="_xlnm.Print_Area" localSheetId="0">Model!$A$1:$D$25</definedName>
    <definedName name="_xlnm.Print_Area" localSheetId="1">QQ!$A$1:$N$24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C3" i="2" s="1"/>
  <c r="D3" i="2" s="1"/>
  <c r="B17" i="1"/>
  <c r="B18" i="1" s="1"/>
  <c r="B23" i="1"/>
  <c r="B25" i="1" s="1"/>
  <c r="B19" i="1"/>
  <c r="B6" i="1"/>
  <c r="B7" i="1" s="1"/>
  <c r="B8" i="1" s="1"/>
  <c r="B9" i="1"/>
  <c r="B13" i="1"/>
  <c r="B24" i="1" l="1"/>
  <c r="C6" i="2"/>
  <c r="D6" i="2" s="1"/>
  <c r="C10" i="2"/>
  <c r="D10" i="2" s="1"/>
  <c r="C8" i="2"/>
  <c r="D8" i="2" s="1"/>
  <c r="C13" i="2"/>
  <c r="D13" i="2" s="1"/>
  <c r="C5" i="2"/>
  <c r="D5" i="2" s="1"/>
  <c r="C9" i="2"/>
  <c r="D9" i="2" s="1"/>
  <c r="C2" i="2"/>
  <c r="D2" i="2" s="1"/>
  <c r="C12" i="2"/>
  <c r="D12" i="2" s="1"/>
  <c r="C4" i="2"/>
  <c r="D4" i="2" s="1"/>
  <c r="E3" i="2"/>
  <c r="C7" i="2"/>
  <c r="D7" i="2" s="1"/>
  <c r="C11" i="2"/>
  <c r="D11" i="2" s="1"/>
  <c r="E13" i="2" l="1"/>
  <c r="E12" i="2"/>
  <c r="E11" i="2"/>
  <c r="E10" i="2"/>
  <c r="E9" i="2"/>
  <c r="E8" i="2"/>
  <c r="E7" i="2"/>
  <c r="E6" i="2"/>
  <c r="E5" i="2"/>
  <c r="E4" i="2"/>
  <c r="E2" i="2"/>
</calcChain>
</file>

<file path=xl/sharedStrings.xml><?xml version="1.0" encoding="utf-8"?>
<sst xmlns="http://schemas.openxmlformats.org/spreadsheetml/2006/main" count="41" uniqueCount="41">
  <si>
    <t>Normální model</t>
  </si>
  <si>
    <t>Hodnota</t>
  </si>
  <si>
    <t>Průměr (body)</t>
  </si>
  <si>
    <t>Autorský ilustrační model skóru pozornosti.</t>
  </si>
  <si>
    <t>Směrodatná odchylka (body)</t>
  </si>
  <si>
    <t>Nejde o skutečný test ani jeho normy.</t>
  </si>
  <si>
    <t>Hranice (body)</t>
  </si>
  <si>
    <t>Žlutě: vstupy. Modře: výpočty.</t>
  </si>
  <si>
    <t>Z-skór hranice</t>
  </si>
  <si>
    <t>Podíl nejvýše po hranici</t>
  </si>
  <si>
    <t>Odchylka musí být kladná.</t>
  </si>
  <si>
    <t>Podíl nad hranicí</t>
  </si>
  <si>
    <t>Podíly v B16 a B22: větší než 0, menší než 1.</t>
  </si>
  <si>
    <t>Přímý převod na podíl</t>
  </si>
  <si>
    <t>Pro další výpočty ponechte plnou přesnost.</t>
  </si>
  <si>
    <t>Dolní hranice (body)</t>
  </si>
  <si>
    <t>Procentní formát nenásobte znovu stem.</t>
  </si>
  <si>
    <t>Horní hranice (body)</t>
  </si>
  <si>
    <t>Podíl mezi hranicemi</t>
  </si>
  <si>
    <t>České vzorce a postup: kapitola 4 učebnice.</t>
  </si>
  <si>
    <t>Podíl vlevo</t>
  </si>
  <si>
    <t>Z-skór percentilu</t>
  </si>
  <si>
    <t>Percentil (body)</t>
  </si>
  <si>
    <t>Přímý převod na percentil (body)</t>
  </si>
  <si>
    <t>Prostřední podíl</t>
  </si>
  <si>
    <t>Podíl v jednom chvostu</t>
  </si>
  <si>
    <t>Dolní mez (body)</t>
  </si>
  <si>
    <t>Horní mez (body)</t>
  </si>
  <si>
    <t>Pořadí</t>
  </si>
  <si>
    <t>Skór (body)</t>
  </si>
  <si>
    <t>Podíl</t>
  </si>
  <si>
    <t>Normální kvantil z</t>
  </si>
  <si>
    <t>Referenční hodnota (body)</t>
  </si>
  <si>
    <t>Počet</t>
  </si>
  <si>
    <t>Průměr</t>
  </si>
  <si>
    <t>Směrodatná odchylka</t>
  </si>
  <si>
    <t>Autorská ilustrační data, již seřazená vzestupně.</t>
  </si>
  <si>
    <t>Podíl: střed pořadového dílku (i − 0,5) / n.</t>
  </si>
  <si>
    <t>Přímka používá průměr a odchylku těchto dat.</t>
  </si>
  <si>
    <t>Měňte skóry ve žlutých buňkách a zachovejte pořadí.</t>
  </si>
  <si>
    <t>Graf a vzorce se přepočítají. Data nemají být prázdná.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</si>
</sst>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00"/>
  </numFmts>
  <fonts count="4">
    <font>
      <sz val="11"/>
      <name val="Carlito"/>
    </font>
    <font>
      <sz val="11"/>
      <color rgb="FF223744"/>
      <name val="Arial"/>
    </font>
    <font>
      <b/>
      <sz val="11"/>
      <color rgb="FFFFFFFF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34F62"/>
      </patternFill>
    </fill>
    <fill>
      <patternFill patternType="solid">
        <fgColor rgb="FFFFF1CB"/>
      </patternFill>
    </fill>
    <fill>
      <patternFill patternType="solid">
        <fgColor rgb="FFEA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 wrapText="1"/>
    </xf>
    <xf numFmtId="2" fontId="1" fillId="3" borderId="0" xfId="1" applyNumberFormat="1" applyFont="1" applyFill="1" applyAlignment="1">
      <alignment vertical="center"/>
    </xf>
    <xf numFmtId="164" fontId="1" fillId="4" borderId="0" xfId="1" applyNumberFormat="1" applyFont="1" applyFill="1" applyAlignment="1">
      <alignment vertical="center"/>
    </xf>
    <xf numFmtId="165" fontId="1" fillId="4" borderId="0" xfId="1" applyNumberFormat="1" applyFont="1" applyFill="1" applyAlignment="1">
      <alignment vertical="center"/>
    </xf>
    <xf numFmtId="165" fontId="1" fillId="3" borderId="0" xfId="1" applyNumberFormat="1" applyFont="1" applyFill="1" applyAlignment="1">
      <alignment vertical="center"/>
    </xf>
    <xf numFmtId="2" fontId="1" fillId="4" borderId="0" xfId="1" applyNumberFormat="1" applyFont="1" applyFill="1" applyAlignment="1">
      <alignment vertical="center"/>
    </xf>
    <xf numFmtId="1" fontId="1" fillId="0" borderId="0" xfId="1" applyNumberFormat="1" applyFont="1" applyAlignment="1">
      <alignment vertical="center"/>
    </xf>
    <xf numFmtId="1" fontId="1" fillId="3" borderId="0" xfId="1" applyNumberFormat="1" applyFont="1" applyFill="1" applyAlignment="1">
      <alignment vertical="center"/>
    </xf>
    <xf numFmtId="1" fontId="1" fillId="4" borderId="0" xfId="1" applyNumberFormat="1" applyFont="1" applyFill="1" applyAlignment="1">
      <alignment vertical="center"/>
    </xf>
    <xf numFmtId="166" fontId="1" fillId="4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2"/>
  <c:chart>
    <c:title>
      <c:tx>
        <c:rich>
          <a:bodyPr/>
          <a:lstStyle/>
          <a:p>
            <a:r>
              <a:t>Normální Q–Q graf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Pozorované skóry</c:v>
          </c:tx>
          <c:spPr>
            <a:ln w="25400">
              <a:noFill/>
            </a:ln>
          </c:spPr>
          <c:marker>
            <c:symbol val="circle"/>
            <c:size val="6"/>
            <c:spPr>
              <a:solidFill>
                <a:srgbClr val="245D78"/>
              </a:solidFill>
              <a:ln>
                <a:solidFill>
                  <a:srgbClr val="245D78"/>
                </a:solidFill>
                <a:prstDash val="solid"/>
              </a:ln>
            </c:spPr>
          </c:marker>
          <c:xVal>
            <c:numRef>
              <c:f>QQ!$D$2:$D$13</c:f>
              <c:numCache>
                <c:formatCode>0.000</c:formatCode>
                <c:ptCount val="12"/>
                <c:pt idx="0">
                  <c:v>-1.7316643961222451</c:v>
                </c:pt>
                <c:pt idx="1">
                  <c:v>-1.1503493803760083</c:v>
                </c:pt>
                <c:pt idx="2">
                  <c:v>-0.81221780149991241</c:v>
                </c:pt>
                <c:pt idx="3">
                  <c:v>-0.54852228269809788</c:v>
                </c:pt>
                <c:pt idx="4">
                  <c:v>-0.3186393639643752</c:v>
                </c:pt>
                <c:pt idx="5">
                  <c:v>-0.10463345561407539</c:v>
                </c:pt>
                <c:pt idx="6">
                  <c:v>0.10463345561407525</c:v>
                </c:pt>
                <c:pt idx="7">
                  <c:v>0.3186393639643752</c:v>
                </c:pt>
                <c:pt idx="8">
                  <c:v>0.54852228269809822</c:v>
                </c:pt>
                <c:pt idx="9">
                  <c:v>0.81221780149991241</c:v>
                </c:pt>
                <c:pt idx="10">
                  <c:v>1.1503493803760083</c:v>
                </c:pt>
                <c:pt idx="11">
                  <c:v>1.7316643961222455</c:v>
                </c:pt>
              </c:numCache>
            </c:numRef>
          </c:xVal>
          <c:yVal>
            <c:numRef>
              <c:f>QQ!$B$2:$B$13</c:f>
              <c:numCache>
                <c:formatCode>0</c:formatCode>
                <c:ptCount val="12"/>
                <c:pt idx="0">
                  <c:v>35</c:v>
                </c:pt>
                <c:pt idx="1">
                  <c:v>39</c:v>
                </c:pt>
                <c:pt idx="2">
                  <c:v>42</c:v>
                </c:pt>
                <c:pt idx="3">
                  <c:v>45</c:v>
                </c:pt>
                <c:pt idx="4">
                  <c:v>47</c:v>
                </c:pt>
                <c:pt idx="5">
                  <c:v>49</c:v>
                </c:pt>
                <c:pt idx="6">
                  <c:v>51</c:v>
                </c:pt>
                <c:pt idx="7">
                  <c:v>53</c:v>
                </c:pt>
                <c:pt idx="8">
                  <c:v>55</c:v>
                </c:pt>
                <c:pt idx="9">
                  <c:v>58</c:v>
                </c:pt>
                <c:pt idx="10">
                  <c:v>61</c:v>
                </c:pt>
                <c:pt idx="1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3E-4B54-8FAC-CBB12EC69DA9}"/>
            </c:ext>
          </c:extLst>
        </c:ser>
        <c:ser>
          <c:idx val="1"/>
          <c:order val="1"/>
          <c:tx>
            <c:v>Referenční přímka</c:v>
          </c:tx>
          <c:spPr>
            <a:ln w="22225">
              <a:solidFill>
                <a:srgbClr val="B54E24"/>
              </a:solidFill>
              <a:prstDash val="dash"/>
            </a:ln>
          </c:spPr>
          <c:marker>
            <c:symbol val="none"/>
          </c:marker>
          <c:xVal>
            <c:numRef>
              <c:f>QQ!$D$2:$D$13</c:f>
              <c:numCache>
                <c:formatCode>0.000</c:formatCode>
                <c:ptCount val="12"/>
                <c:pt idx="0">
                  <c:v>-1.7316643961222451</c:v>
                </c:pt>
                <c:pt idx="1">
                  <c:v>-1.1503493803760083</c:v>
                </c:pt>
                <c:pt idx="2">
                  <c:v>-0.81221780149991241</c:v>
                </c:pt>
                <c:pt idx="3">
                  <c:v>-0.54852228269809788</c:v>
                </c:pt>
                <c:pt idx="4">
                  <c:v>-0.3186393639643752</c:v>
                </c:pt>
                <c:pt idx="5">
                  <c:v>-0.10463345561407539</c:v>
                </c:pt>
                <c:pt idx="6">
                  <c:v>0.10463345561407525</c:v>
                </c:pt>
                <c:pt idx="7">
                  <c:v>0.3186393639643752</c:v>
                </c:pt>
                <c:pt idx="8">
                  <c:v>0.54852228269809822</c:v>
                </c:pt>
                <c:pt idx="9">
                  <c:v>0.81221780149991241</c:v>
                </c:pt>
                <c:pt idx="10">
                  <c:v>1.1503493803760083</c:v>
                </c:pt>
                <c:pt idx="11">
                  <c:v>1.7316643961222455</c:v>
                </c:pt>
              </c:numCache>
            </c:numRef>
          </c:xVal>
          <c:yVal>
            <c:numRef>
              <c:f>QQ!$E$2:$E$13</c:f>
              <c:numCache>
                <c:formatCode>0.000</c:formatCode>
                <c:ptCount val="12"/>
                <c:pt idx="0">
                  <c:v>34.423768669978713</c:v>
                </c:pt>
                <c:pt idx="1">
                  <c:v>39.652667053034193</c:v>
                </c:pt>
                <c:pt idx="2">
                  <c:v>42.694143048240605</c:v>
                </c:pt>
                <c:pt idx="3">
                  <c:v>45.066070548017578</c:v>
                </c:pt>
                <c:pt idx="4">
                  <c:v>47.133855465831509</c:v>
                </c:pt>
                <c:pt idx="5">
                  <c:v>49.058827499627533</c:v>
                </c:pt>
                <c:pt idx="6">
                  <c:v>50.941172500372467</c:v>
                </c:pt>
                <c:pt idx="7">
                  <c:v>52.866144534168491</c:v>
                </c:pt>
                <c:pt idx="8">
                  <c:v>54.933929451982429</c:v>
                </c:pt>
                <c:pt idx="9">
                  <c:v>57.305856951759395</c:v>
                </c:pt>
                <c:pt idx="10">
                  <c:v>60.347332946965807</c:v>
                </c:pt>
                <c:pt idx="11">
                  <c:v>65.576231330021287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3E-4B54-8FAC-CBB12EC69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cs-CZ"/>
                  <a:t>Pozorovaný skór (body)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crossAx val="48650112"/>
        <c:crossesAt val="-2"/>
        <c:crossBetween val="midCat"/>
      </c:valAx>
      <c:valAx>
        <c:axId val="48650112"/>
        <c:scaling>
          <c:orientation val="minMax"/>
          <c:max val="2"/>
          <c:min val="-2"/>
        </c:scaling>
        <c:delete val="0"/>
        <c:axPos val="b"/>
        <c:title>
          <c:tx>
            <c:rich>
              <a:bodyPr/>
              <a:lstStyle/>
              <a:p>
                <a:r>
                  <a:rPr lang="cs-CZ"/>
                  <a:t>Teoretický normální kvantil (z)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low"/>
        <c:crossAx val="48672768"/>
        <c:crosses val="autoZero"/>
        <c:crossBetween val="midCat"/>
        <c:majorUnit val="1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100">
          <a:latin typeface="Arial"/>
          <a:ea typeface="Arial"/>
          <a:cs typeface="Arial"/>
        </a:defRPr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tabSelected="1" workbookViewId="0"/>
  </sheetViews>
  <sheetFormatPr defaultRowHeight="13.6"/>
  <cols>
    <col min="1" max="1" width="37" customWidth="1"/>
    <col min="2" max="2" width="17" customWidth="1"/>
    <col min="3" max="3" width="15" customWidth="1"/>
    <col min="4" max="4" width="52" customWidth="1"/>
    <col min="5" max="6" width="15" customWidth="1"/>
  </cols>
  <sheetData>
    <row r="1" spans="1:6" ht="44" customHeight="1">
      <c r="A1" s="2" t="s">
        <v>0</v>
      </c>
      <c r="B1" s="2" t="s">
        <v>1</v>
      </c>
      <c r="C1" s="1"/>
      <c r="D1" s="1"/>
      <c r="E1" s="1"/>
      <c r="F1" s="1"/>
    </row>
    <row r="2" spans="1:6" ht="23.95" customHeight="1">
      <c r="A2" s="1" t="s">
        <v>2</v>
      </c>
      <c r="B2" s="3">
        <v>50</v>
      </c>
      <c r="C2" s="1"/>
      <c r="D2" s="1" t="s">
        <v>3</v>
      </c>
      <c r="E2" s="1"/>
      <c r="F2" s="1"/>
    </row>
    <row r="3" spans="1:6" ht="23.95" customHeight="1">
      <c r="A3" s="1" t="s">
        <v>4</v>
      </c>
      <c r="B3" s="3">
        <v>10</v>
      </c>
      <c r="C3" s="1"/>
      <c r="D3" s="1" t="s">
        <v>5</v>
      </c>
      <c r="E3" s="1"/>
      <c r="F3" s="1"/>
    </row>
    <row r="4" spans="1:6" ht="23.95" customHeight="1">
      <c r="A4" s="1" t="s">
        <v>6</v>
      </c>
      <c r="B4" s="3">
        <v>60</v>
      </c>
      <c r="C4" s="1"/>
      <c r="D4" s="1"/>
      <c r="E4" s="1"/>
      <c r="F4" s="1"/>
    </row>
    <row r="5" spans="1:6" ht="23.95" customHeight="1">
      <c r="A5" s="1"/>
      <c r="B5" s="1"/>
      <c r="C5" s="1"/>
      <c r="D5" s="1" t="s">
        <v>7</v>
      </c>
      <c r="E5" s="1"/>
      <c r="F5" s="1"/>
    </row>
    <row r="6" spans="1:6" ht="23.95" customHeight="1">
      <c r="A6" s="1" t="s">
        <v>8</v>
      </c>
      <c r="B6" s="4">
        <f>(B4-B2)/B3</f>
        <v>1</v>
      </c>
      <c r="C6" s="1"/>
      <c r="D6" s="1"/>
      <c r="E6" s="1"/>
      <c r="F6" s="1"/>
    </row>
    <row r="7" spans="1:6" ht="23.95" customHeight="1">
      <c r="A7" s="1" t="s">
        <v>9</v>
      </c>
      <c r="B7" s="5">
        <f>_xlfn.NORM.S.DIST(B6,TRUE)</f>
        <v>0.84134474606854304</v>
      </c>
      <c r="C7" s="1"/>
      <c r="D7" s="1" t="s">
        <v>10</v>
      </c>
      <c r="E7" s="1"/>
      <c r="F7" s="1"/>
    </row>
    <row r="8" spans="1:6" ht="23.95" customHeight="1">
      <c r="A8" s="1" t="s">
        <v>11</v>
      </c>
      <c r="B8" s="5">
        <f>1-B7</f>
        <v>0.15865525393145696</v>
      </c>
      <c r="C8" s="1"/>
      <c r="D8" s="1" t="s">
        <v>12</v>
      </c>
      <c r="E8" s="1"/>
      <c r="F8" s="1"/>
    </row>
    <row r="9" spans="1:6" ht="23.95" customHeight="1">
      <c r="A9" s="1" t="s">
        <v>13</v>
      </c>
      <c r="B9" s="5">
        <f>_xlfn.NORM.DIST(B4,B2,B3,TRUE)</f>
        <v>0.84134474606854304</v>
      </c>
      <c r="C9" s="1"/>
      <c r="D9" s="1"/>
      <c r="E9" s="1"/>
      <c r="F9" s="1"/>
    </row>
    <row r="10" spans="1:6" ht="23.95" customHeight="1">
      <c r="A10" s="1"/>
      <c r="B10" s="1"/>
      <c r="C10" s="1"/>
      <c r="D10" s="1" t="s">
        <v>14</v>
      </c>
      <c r="E10" s="1"/>
      <c r="F10" s="1"/>
    </row>
    <row r="11" spans="1:6" ht="23.95" customHeight="1">
      <c r="A11" s="1" t="s">
        <v>15</v>
      </c>
      <c r="B11" s="3">
        <v>60</v>
      </c>
      <c r="C11" s="1"/>
      <c r="D11" s="1" t="s">
        <v>16</v>
      </c>
      <c r="E11" s="1"/>
      <c r="F11" s="1"/>
    </row>
    <row r="12" spans="1:6" ht="23.95" customHeight="1">
      <c r="A12" s="1" t="s">
        <v>17</v>
      </c>
      <c r="B12" s="3">
        <v>70</v>
      </c>
      <c r="C12" s="1"/>
      <c r="D12" s="1"/>
      <c r="E12" s="1"/>
      <c r="F12" s="1"/>
    </row>
    <row r="13" spans="1:6" ht="23.95" customHeight="1">
      <c r="A13" s="1" t="s">
        <v>18</v>
      </c>
      <c r="B13" s="5">
        <f>_xlfn.NORM.S.DIST((B12-B2)/B3,TRUE)-_xlfn.NORM.S.DIST((B11-B2)/B3,TRUE)</f>
        <v>0.13590512198327775</v>
      </c>
      <c r="C13" s="1"/>
      <c r="D13" s="1"/>
      <c r="E13" s="1"/>
      <c r="F13" s="1"/>
    </row>
    <row r="14" spans="1:6" ht="23.95" customHeight="1">
      <c r="A14" s="1"/>
      <c r="B14" s="1"/>
      <c r="C14" s="1"/>
      <c r="D14" s="1" t="s">
        <v>19</v>
      </c>
      <c r="E14" s="1"/>
      <c r="F14" s="1"/>
    </row>
    <row r="15" spans="1:6" ht="23.95" customHeight="1">
      <c r="A15" s="1"/>
      <c r="B15" s="1"/>
      <c r="C15" s="1"/>
      <c r="D15" s="1"/>
      <c r="E15" s="1"/>
      <c r="F15" s="1"/>
    </row>
    <row r="16" spans="1:6" ht="23.95" customHeight="1">
      <c r="A16" s="1" t="s">
        <v>20</v>
      </c>
      <c r="B16" s="6">
        <v>0.9</v>
      </c>
      <c r="C16" s="1"/>
      <c r="D16" s="1"/>
      <c r="E16" s="1"/>
      <c r="F16" s="1"/>
    </row>
    <row r="17" spans="1:6" ht="23.95" customHeight="1">
      <c r="A17" s="1" t="s">
        <v>21</v>
      </c>
      <c r="B17" s="4">
        <f>_xlfn.NORM.S.INV(B16)</f>
        <v>1.2815515655446006</v>
      </c>
      <c r="C17" s="1"/>
      <c r="D17" s="1"/>
      <c r="E17" s="1"/>
      <c r="F17" s="1"/>
    </row>
    <row r="18" spans="1:6" ht="23.95" customHeight="1">
      <c r="A18" s="1" t="s">
        <v>22</v>
      </c>
      <c r="B18" s="7">
        <f>B2+B3*B17</f>
        <v>62.815515655446006</v>
      </c>
      <c r="C18" s="1"/>
      <c r="D18" s="1"/>
      <c r="E18" s="1"/>
      <c r="F18" s="1"/>
    </row>
    <row r="19" spans="1:6" ht="23.95" customHeight="1">
      <c r="A19" s="1" t="s">
        <v>23</v>
      </c>
      <c r="B19" s="7">
        <f>_xlfn.NORM.INV(B16,B2,B3)</f>
        <v>62.815515655446006</v>
      </c>
      <c r="C19" s="1"/>
      <c r="D19" s="1"/>
      <c r="E19" s="1"/>
      <c r="F19" s="1"/>
    </row>
    <row r="20" spans="1:6" ht="23.95" customHeight="1">
      <c r="A20" s="1"/>
      <c r="B20" s="1"/>
      <c r="C20" s="1"/>
      <c r="D20" s="1"/>
      <c r="E20" s="1"/>
      <c r="F20" s="1"/>
    </row>
    <row r="21" spans="1:6" ht="23.95" customHeight="1">
      <c r="A21" s="1"/>
      <c r="B21" s="1"/>
      <c r="C21" s="1"/>
      <c r="D21" s="1"/>
      <c r="E21" s="1"/>
      <c r="F21" s="1"/>
    </row>
    <row r="22" spans="1:6" ht="23.95" customHeight="1">
      <c r="A22" s="1" t="s">
        <v>24</v>
      </c>
      <c r="B22" s="6">
        <v>0.95</v>
      </c>
      <c r="C22" s="1"/>
      <c r="D22" s="1"/>
      <c r="E22" s="1"/>
      <c r="F22" s="1"/>
    </row>
    <row r="23" spans="1:6" ht="23.95" customHeight="1">
      <c r="A23" s="1" t="s">
        <v>25</v>
      </c>
      <c r="B23" s="5">
        <f>(1-B22)/2</f>
        <v>2.5000000000000022E-2</v>
      </c>
      <c r="C23" s="1"/>
      <c r="D23" s="1"/>
      <c r="E23" s="1"/>
      <c r="F23" s="1"/>
    </row>
    <row r="24" spans="1:6" ht="23.95" customHeight="1">
      <c r="A24" s="1" t="s">
        <v>26</v>
      </c>
      <c r="B24" s="7">
        <f>_xlfn.NORM.INV(B23,B2,B3)</f>
        <v>30.400360154599465</v>
      </c>
      <c r="C24" s="1"/>
      <c r="D24" s="1"/>
      <c r="E24" s="1"/>
      <c r="F24" s="1"/>
    </row>
    <row r="25" spans="1:6" ht="23.95" customHeight="1">
      <c r="A25" s="1" t="s">
        <v>27</v>
      </c>
      <c r="B25" s="7">
        <f>_xlfn.NORM.INV(1-B23,B2,B3)</f>
        <v>69.599639845400532</v>
      </c>
      <c r="C25" s="1"/>
      <c r="D25" s="1"/>
      <c r="E25" s="1"/>
      <c r="F25" s="1"/>
    </row>
    <row r="26" spans="1:6" ht="23.95" customHeight="1">
      <c r="A26" s="1"/>
      <c r="B26" s="1"/>
      <c r="C26" s="1"/>
      <c r="D26" s="1"/>
      <c r="E26" s="1"/>
      <c r="F26" s="1"/>
    </row>
    <row r="27" spans="1:6" ht="23.95" customHeight="1">
      <c r="A27" s="1"/>
      <c r="B27" s="1"/>
      <c r="C27" s="1"/>
      <c r="D27" s="1"/>
      <c r="E27" s="1"/>
      <c r="F27" s="1"/>
    </row>
    <row r="28" spans="1:6" ht="23.95" customHeight="1">
      <c r="A28" s="1"/>
      <c r="B28" s="1"/>
      <c r="C28" s="1"/>
      <c r="D28" s="1"/>
      <c r="E28" s="1"/>
    </row>
    <row r="29" spans="1:6" ht="23.95" customHeight="1">
      <c r="A29" s="1"/>
      <c r="B29" s="1"/>
      <c r="C29" s="1"/>
      <c r="D29" s="1"/>
      <c r="E29" s="1"/>
      <c r="F29" s="1"/>
    </row>
  </sheetData>
  <pageMargins left="0.7" right="0.7" top="0.75" bottom="0.75" header="0.3" footer="0.3"/>
  <pageSetup paperSize="9" scale="7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"/>
  <sheetViews>
    <sheetView workbookViewId="0"/>
  </sheetViews>
  <sheetFormatPr defaultRowHeight="13.6"/>
  <cols>
    <col min="1" max="1" width="9" customWidth="1"/>
    <col min="2" max="3" width="15" customWidth="1"/>
    <col min="4" max="5" width="20" customWidth="1"/>
    <col min="6" max="6" width="3" customWidth="1"/>
    <col min="7" max="7" width="26" customWidth="1"/>
    <col min="8" max="8" width="12" customWidth="1"/>
    <col min="9" max="14" width="15" customWidth="1"/>
  </cols>
  <sheetData>
    <row r="1" spans="1:14" ht="44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1"/>
      <c r="G1" s="1"/>
      <c r="H1" s="1"/>
      <c r="I1" s="1"/>
      <c r="J1" s="1"/>
      <c r="K1" s="1"/>
      <c r="L1" s="1"/>
      <c r="M1" s="1"/>
      <c r="N1" s="1"/>
    </row>
    <row r="2" spans="1:14" ht="23.95" customHeight="1">
      <c r="A2" s="8">
        <v>1</v>
      </c>
      <c r="B2" s="9">
        <v>35</v>
      </c>
      <c r="C2" s="11">
        <f>(A2-0.5)/$H$2</f>
        <v>4.1666666666666664E-2</v>
      </c>
      <c r="D2" s="4">
        <f>_xlfn.NORM.S.INV(C2)</f>
        <v>-1.7316643961222451</v>
      </c>
      <c r="E2" s="4">
        <f>$H$3+$H$4*D2</f>
        <v>34.423768669978713</v>
      </c>
      <c r="F2" s="1"/>
      <c r="G2" s="1" t="s">
        <v>33</v>
      </c>
      <c r="H2" s="10">
        <f>COUNT(B2:B13)</f>
        <v>12</v>
      </c>
      <c r="I2" s="1"/>
      <c r="J2" s="1"/>
      <c r="K2" s="1"/>
      <c r="L2" s="1"/>
      <c r="M2" s="1"/>
      <c r="N2" s="1"/>
    </row>
    <row r="3" spans="1:14" ht="23.95" customHeight="1">
      <c r="A3" s="8">
        <v>2</v>
      </c>
      <c r="B3" s="9">
        <v>39</v>
      </c>
      <c r="C3" s="11">
        <f t="shared" ref="C3:C13" si="0">(A3-0.5)/$H$2</f>
        <v>0.125</v>
      </c>
      <c r="D3" s="4">
        <f t="shared" ref="D3:D13" si="1">_xlfn.NORM.S.INV(C3)</f>
        <v>-1.1503493803760083</v>
      </c>
      <c r="E3" s="4">
        <f t="shared" ref="E3:E13" si="2">$H$3+$H$4*D3</f>
        <v>39.652667053034193</v>
      </c>
      <c r="F3" s="1"/>
      <c r="G3" s="1" t="s">
        <v>34</v>
      </c>
      <c r="H3" s="4">
        <f>AVERAGE(B2:B13)</f>
        <v>50</v>
      </c>
      <c r="I3" s="1"/>
      <c r="J3" s="1"/>
      <c r="K3" s="1"/>
      <c r="L3" s="1"/>
      <c r="M3" s="1"/>
      <c r="N3" s="1"/>
    </row>
    <row r="4" spans="1:14" ht="23.95" customHeight="1">
      <c r="A4" s="8">
        <v>3</v>
      </c>
      <c r="B4" s="9">
        <v>42</v>
      </c>
      <c r="C4" s="11">
        <f t="shared" si="0"/>
        <v>0.20833333333333334</v>
      </c>
      <c r="D4" s="4">
        <f t="shared" si="1"/>
        <v>-0.81221780149991241</v>
      </c>
      <c r="E4" s="4">
        <f t="shared" si="2"/>
        <v>42.694143048240605</v>
      </c>
      <c r="F4" s="1"/>
      <c r="G4" s="1" t="s">
        <v>35</v>
      </c>
      <c r="H4" s="4">
        <f>_xlfn.STDEV.S(B2:B13)</f>
        <v>8.9949480770647536</v>
      </c>
      <c r="I4" s="1"/>
      <c r="J4" s="1"/>
      <c r="K4" s="1"/>
      <c r="L4" s="1"/>
      <c r="M4" s="1"/>
      <c r="N4" s="1"/>
    </row>
    <row r="5" spans="1:14" ht="23.95" customHeight="1">
      <c r="A5" s="8">
        <v>4</v>
      </c>
      <c r="B5" s="9">
        <v>45</v>
      </c>
      <c r="C5" s="11">
        <f t="shared" si="0"/>
        <v>0.29166666666666669</v>
      </c>
      <c r="D5" s="4">
        <f t="shared" si="1"/>
        <v>-0.54852228269809788</v>
      </c>
      <c r="E5" s="4">
        <f t="shared" si="2"/>
        <v>45.066070548017578</v>
      </c>
      <c r="F5" s="1"/>
      <c r="G5" s="1"/>
      <c r="H5" s="1"/>
      <c r="I5" s="1"/>
      <c r="J5" s="1"/>
      <c r="K5" s="1"/>
      <c r="L5" s="1"/>
      <c r="M5" s="1"/>
      <c r="N5" s="1"/>
    </row>
    <row r="6" spans="1:14" ht="23.95" customHeight="1">
      <c r="A6" s="8">
        <v>5</v>
      </c>
      <c r="B6" s="9">
        <v>47</v>
      </c>
      <c r="C6" s="11">
        <f t="shared" si="0"/>
        <v>0.375</v>
      </c>
      <c r="D6" s="4">
        <f t="shared" si="1"/>
        <v>-0.3186393639643752</v>
      </c>
      <c r="E6" s="4">
        <f t="shared" si="2"/>
        <v>47.133855465831509</v>
      </c>
      <c r="F6" s="1"/>
      <c r="G6" s="1"/>
      <c r="H6" s="1"/>
      <c r="I6" s="1"/>
      <c r="J6" s="1"/>
      <c r="K6" s="1"/>
      <c r="L6" s="1"/>
      <c r="M6" s="1"/>
      <c r="N6" s="1"/>
    </row>
    <row r="7" spans="1:14" ht="23.95" customHeight="1">
      <c r="A7" s="8">
        <v>6</v>
      </c>
      <c r="B7" s="9">
        <v>49</v>
      </c>
      <c r="C7" s="11">
        <f t="shared" si="0"/>
        <v>0.45833333333333331</v>
      </c>
      <c r="D7" s="4">
        <f t="shared" si="1"/>
        <v>-0.10463345561407539</v>
      </c>
      <c r="E7" s="4">
        <f t="shared" si="2"/>
        <v>49.058827499627533</v>
      </c>
      <c r="F7" s="1"/>
      <c r="G7" s="1"/>
      <c r="H7" s="1"/>
      <c r="I7" s="1"/>
      <c r="J7" s="1"/>
      <c r="K7" s="1"/>
      <c r="L7" s="1"/>
      <c r="M7" s="1"/>
      <c r="N7" s="1"/>
    </row>
    <row r="8" spans="1:14" ht="23.95" customHeight="1">
      <c r="A8" s="8">
        <v>7</v>
      </c>
      <c r="B8" s="9">
        <v>51</v>
      </c>
      <c r="C8" s="11">
        <f t="shared" si="0"/>
        <v>0.54166666666666663</v>
      </c>
      <c r="D8" s="4">
        <f t="shared" si="1"/>
        <v>0.10463345561407525</v>
      </c>
      <c r="E8" s="4">
        <f t="shared" si="2"/>
        <v>50.941172500372467</v>
      </c>
      <c r="F8" s="1"/>
      <c r="G8" s="1"/>
      <c r="H8" s="1"/>
      <c r="I8" s="1"/>
      <c r="J8" s="1"/>
      <c r="K8" s="1"/>
      <c r="L8" s="1"/>
      <c r="M8" s="1"/>
      <c r="N8" s="1"/>
    </row>
    <row r="9" spans="1:14" ht="23.95" customHeight="1">
      <c r="A9" s="8">
        <v>8</v>
      </c>
      <c r="B9" s="9">
        <v>53</v>
      </c>
      <c r="C9" s="11">
        <f t="shared" si="0"/>
        <v>0.625</v>
      </c>
      <c r="D9" s="4">
        <f t="shared" si="1"/>
        <v>0.3186393639643752</v>
      </c>
      <c r="E9" s="4">
        <f t="shared" si="2"/>
        <v>52.866144534168491</v>
      </c>
      <c r="F9" s="1"/>
      <c r="G9" s="1"/>
      <c r="H9" s="1"/>
      <c r="I9" s="1"/>
      <c r="J9" s="1"/>
      <c r="K9" s="1"/>
      <c r="L9" s="1"/>
      <c r="M9" s="1"/>
      <c r="N9" s="1"/>
    </row>
    <row r="10" spans="1:14" ht="23.95" customHeight="1">
      <c r="A10" s="8">
        <v>9</v>
      </c>
      <c r="B10" s="9">
        <v>55</v>
      </c>
      <c r="C10" s="11">
        <f t="shared" si="0"/>
        <v>0.70833333333333337</v>
      </c>
      <c r="D10" s="4">
        <f t="shared" si="1"/>
        <v>0.54852228269809822</v>
      </c>
      <c r="E10" s="4">
        <f t="shared" si="2"/>
        <v>54.933929451982429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23.95" customHeight="1">
      <c r="A11" s="8">
        <v>10</v>
      </c>
      <c r="B11" s="9">
        <v>58</v>
      </c>
      <c r="C11" s="11">
        <f t="shared" si="0"/>
        <v>0.79166666666666663</v>
      </c>
      <c r="D11" s="4">
        <f t="shared" si="1"/>
        <v>0.81221780149991241</v>
      </c>
      <c r="E11" s="4">
        <f t="shared" si="2"/>
        <v>57.305856951759395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23.95" customHeight="1">
      <c r="A12" s="8">
        <v>11</v>
      </c>
      <c r="B12" s="9">
        <v>61</v>
      </c>
      <c r="C12" s="11">
        <f t="shared" si="0"/>
        <v>0.875</v>
      </c>
      <c r="D12" s="4">
        <f t="shared" si="1"/>
        <v>1.1503493803760083</v>
      </c>
      <c r="E12" s="4">
        <f t="shared" si="2"/>
        <v>60.347332946965807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23.95" customHeight="1">
      <c r="A13" s="8">
        <v>12</v>
      </c>
      <c r="B13" s="9">
        <v>65</v>
      </c>
      <c r="C13" s="11">
        <f t="shared" si="0"/>
        <v>0.95833333333333337</v>
      </c>
      <c r="D13" s="4">
        <f t="shared" si="1"/>
        <v>1.7316643961222455</v>
      </c>
      <c r="E13" s="4">
        <f t="shared" si="2"/>
        <v>65.576231330021287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23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3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3.95" customHeight="1">
      <c r="A16" s="1" t="s">
        <v>36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3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3.95" customHeight="1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3.95" customHeight="1">
      <c r="A19" s="1" t="s">
        <v>38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3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3.95" customHeight="1">
      <c r="A21" s="1" t="s">
        <v>39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3.95" customHeight="1">
      <c r="A22" s="1" t="s">
        <v>40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3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3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3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pageMargins left="0.7" right="0.7" top="0.75" bottom="0.75" header="0.3" footer="0.3"/>
  <pageSetup paperSize="9" scale="5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Model</vt:lpstr>
      <vt:lpstr>QQ</vt:lpstr>
      <vt:lpstr>Model!Oblast_tisku</vt:lpstr>
      <vt:lpstr>QQ!Oblast_tisku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Karel Rečka</cp:lastModifiedBy>
  <dcterms:modified xsi:type="dcterms:W3CDTF">2026-10-10T19:42:35Z</dcterms:modified>
</cp:coreProperties>
</file>