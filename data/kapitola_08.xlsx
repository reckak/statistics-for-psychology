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C2F63D0-0742-4199-9D9A-B8D7B7F81AF2}" xr6:coauthVersionLast="47" xr6:coauthVersionMax="47" xr10:uidLastSave="{00000000-0000-0000-0000-000000000000}"/>
  <bookViews>
    <workbookView xWindow="-109" yWindow="-109" windowWidth="34995" windowHeight="19060" xr2:uid="{D0A71B8E-9AED-4BA1-8D1D-236B42023A54}"/>
  </bookViews>
  <sheets>
    <sheet name="Prehled" sheetId="1" r:id="rId1"/>
    <sheet name="Parovy_test" sheetId="2" r:id="rId2"/>
    <sheet name="Klasicky_test" sheetId="3" r:id="rId3"/>
    <sheet name="Welch" sheetId="4" r:id="rId4"/>
    <sheet name="Zmeny" sheetId="5" r:id="rId5"/>
    <sheet name="Ekvivalence_skupin" sheetId="6" r:id="rId6"/>
    <sheet name="Spanek_par" sheetId="7" r:id="rId7"/>
    <sheet name="Spanek_skupiny" sheetId="8" r:id="rId8"/>
    <sheet name="Parkovani" sheetId="9" r:id="rId9"/>
    <sheet name="Anorexie" sheetId="10" r:id="rId10"/>
    <sheet name="Vedle_sebe" sheetId="11" r:id="rId11"/>
    <sheet name="Trenink" sheetId="12" r:id="rId12"/>
    <sheet name="Ekv_studie" sheetId="13" r:id="rId13"/>
    <sheet name="U02_relaxace" sheetId="14" r:id="rId14"/>
    <sheet name="U03_stroop" sheetId="15" r:id="rId15"/>
    <sheet name="U05_hrozba" sheetId="16" r:id="rId16"/>
    <sheet name="U06_hudba" sheetId="17" r:id="rId17"/>
    <sheet name="U07_standardizace" sheetId="18" r:id="rId18"/>
    <sheet name="U09_zmeny" sheetId="19" r:id="rId19"/>
    <sheet name="U10_verze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9" i="6" l="1"/>
  <c r="D15" i="6"/>
  <c r="A20" i="6"/>
  <c r="A19" i="6"/>
  <c r="A16" i="6"/>
  <c r="A15" i="6"/>
  <c r="B14" i="6"/>
  <c r="B12" i="6"/>
  <c r="B13" i="6" s="1"/>
  <c r="B11" i="6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4" i="5"/>
  <c r="F4" i="5"/>
  <c r="G3" i="5"/>
  <c r="F3" i="5"/>
  <c r="G2" i="5"/>
  <c r="F2" i="5"/>
  <c r="B19" i="4"/>
  <c r="B14" i="4"/>
  <c r="B7" i="4"/>
  <c r="B6" i="4"/>
  <c r="B5" i="4"/>
  <c r="B4" i="4"/>
  <c r="B3" i="4"/>
  <c r="B12" i="4" s="1"/>
  <c r="B2" i="4"/>
  <c r="B14" i="3"/>
  <c r="B17" i="3" s="1"/>
  <c r="B19" i="3" s="1"/>
  <c r="B11" i="3"/>
  <c r="B12" i="3" s="1"/>
  <c r="B13" i="3" s="1"/>
  <c r="B10" i="3"/>
  <c r="B20" i="3" s="1"/>
  <c r="H14" i="2"/>
  <c r="G14" i="2"/>
  <c r="I14" i="2" s="1"/>
  <c r="F14" i="2"/>
  <c r="H13" i="2"/>
  <c r="G13" i="2"/>
  <c r="I13" i="2" s="1"/>
  <c r="F13" i="2"/>
  <c r="H12" i="2"/>
  <c r="G12" i="2"/>
  <c r="I12" i="2" s="1"/>
  <c r="F12" i="2"/>
  <c r="H11" i="2"/>
  <c r="G11" i="2"/>
  <c r="F11" i="2"/>
  <c r="H10" i="2"/>
  <c r="G10" i="2"/>
  <c r="I10" i="2" s="1"/>
  <c r="F10" i="2"/>
  <c r="H9" i="2"/>
  <c r="G9" i="2"/>
  <c r="I9" i="2" s="1"/>
  <c r="F9" i="2"/>
  <c r="H8" i="2"/>
  <c r="G8" i="2"/>
  <c r="I8" i="2" s="1"/>
  <c r="F8" i="2"/>
  <c r="H7" i="2"/>
  <c r="G7" i="2"/>
  <c r="F7" i="2"/>
  <c r="H6" i="2"/>
  <c r="G6" i="2"/>
  <c r="I6" i="2" s="1"/>
  <c r="F6" i="2"/>
  <c r="H5" i="2"/>
  <c r="G5" i="2"/>
  <c r="I5" i="2" s="1"/>
  <c r="F5" i="2"/>
  <c r="H4" i="2"/>
  <c r="G4" i="2"/>
  <c r="I4" i="2" s="1"/>
  <c r="F4" i="2"/>
  <c r="H3" i="2"/>
  <c r="G3" i="2"/>
  <c r="I3" i="2" s="1"/>
  <c r="F3" i="2"/>
  <c r="H2" i="2"/>
  <c r="G2" i="2"/>
  <c r="I2" i="2" s="1"/>
  <c r="F2" i="2"/>
  <c r="I11" i="2" l="1"/>
  <c r="B10" i="4"/>
  <c r="I7" i="2"/>
  <c r="B5" i="5"/>
  <c r="B4" i="5"/>
  <c r="B15" i="4"/>
  <c r="B17" i="4" s="1"/>
  <c r="B20" i="4"/>
  <c r="B17" i="6"/>
  <c r="B18" i="6" s="1"/>
  <c r="B2" i="2"/>
  <c r="B8" i="2" s="1"/>
  <c r="B11" i="2" s="1"/>
  <c r="B4" i="2"/>
  <c r="B7" i="2" s="1"/>
  <c r="B3" i="2"/>
  <c r="B14" i="2"/>
  <c r="B6" i="5"/>
  <c r="B7" i="5"/>
  <c r="B19" i="6"/>
  <c r="B20" i="6"/>
  <c r="B23" i="6"/>
  <c r="B24" i="6" s="1"/>
  <c r="B15" i="3"/>
  <c r="B16" i="3" s="1"/>
  <c r="B11" i="4"/>
  <c r="B13" i="4" s="1"/>
  <c r="B15" i="6"/>
  <c r="B25" i="6"/>
  <c r="B26" i="6" s="1"/>
  <c r="B2" i="5"/>
  <c r="B18" i="3"/>
  <c r="B3" i="5"/>
  <c r="B16" i="6"/>
  <c r="B15" i="5" l="1"/>
  <c r="B10" i="5"/>
  <c r="B11" i="5" s="1"/>
  <c r="B13" i="2"/>
  <c r="B9" i="2"/>
  <c r="B10" i="2" s="1"/>
  <c r="B12" i="2"/>
  <c r="B12" i="5"/>
  <c r="B13" i="5" s="1"/>
  <c r="B18" i="5"/>
  <c r="B16" i="5"/>
  <c r="B17" i="5" s="1"/>
  <c r="B27" i="6"/>
  <c r="B16" i="4"/>
  <c r="B21" i="6"/>
  <c r="B19" i="5" l="1"/>
  <c r="B20" i="5" s="1"/>
  <c r="B22" i="5"/>
  <c r="B21" i="5"/>
</calcChain>
</file>

<file path=xl/sharedStrings.xml><?xml version="1.0" encoding="utf-8"?>
<sst xmlns="http://schemas.openxmlformats.org/spreadsheetml/2006/main" count="339" uniqueCount="225">
  <si>
    <t>Párový t-test</t>
  </si>
  <si>
    <t>Hodnota</t>
  </si>
  <si>
    <t>Student (ID)</t>
  </si>
  <si>
    <t>Běžný spánek, úplná dvojice</t>
  </si>
  <si>
    <t>Krátký spánek, úplná dvojice</t>
  </si>
  <si>
    <t>Rozdíl běžný − krátký</t>
  </si>
  <si>
    <t>Počet úplných dvojic n</t>
  </si>
  <si>
    <t>Průměrný rozdíl m_D</t>
  </si>
  <si>
    <t>Směrodatná odchylka rozdílů s_D</t>
  </si>
  <si>
    <t>Hladina spolehlivosti</t>
  </si>
  <si>
    <t>Odhad směrodatné chyby</t>
  </si>
  <si>
    <t>Stupně volnosti</t>
  </si>
  <si>
    <t>Testová statistika t</t>
  </si>
  <si>
    <t>P-hodnota oboustranně</t>
  </si>
  <si>
    <t>Kvantil t-rozdělení</t>
  </si>
  <si>
    <t>Dolní mez</t>
  </si>
  <si>
    <t>Horní mez</t>
  </si>
  <si>
    <t>Kontrola: párový T.TEST</t>
  </si>
  <si>
    <t>Data jsou na listu Spanek_par.</t>
  </si>
  <si>
    <t>Neúplná dvojice zůstává prázdná ve svém řádku.</t>
  </si>
  <si>
    <t>Žlutě: vstupy. Modře: výpočty.</t>
  </si>
  <si>
    <t>Párový t-test = jednovýběrový t-test rozdílů.</t>
  </si>
  <si>
    <t>T.TEST typu 1 vrací jen p-hodnotu.</t>
  </si>
  <si>
    <t>Klasický t-test pro dva nezávislé výběry</t>
  </si>
  <si>
    <t>Průměr první skupiny m₁</t>
  </si>
  <si>
    <t>Výběrová směrodatná odchylka s₁</t>
  </si>
  <si>
    <t>Velikost první skupiny n₁</t>
  </si>
  <si>
    <t>Průměr druhé skupiny m₂</t>
  </si>
  <si>
    <t>Výběrová směrodatná odchylka s₂</t>
  </si>
  <si>
    <t>Velikost druhé skupiny n₂</t>
  </si>
  <si>
    <t>Rozdíl průměrů m₁ − m₂</t>
  </si>
  <si>
    <t>Společný odhad rozptylu</t>
  </si>
  <si>
    <t>Společná směrodatná odchylka</t>
  </si>
  <si>
    <t>Odhad směrodatné chyby rozdílu</t>
  </si>
  <si>
    <t>Dolní mez intervalu pro rozdíl</t>
  </si>
  <si>
    <t>Horní mez intervalu pro rozdíl</t>
  </si>
  <si>
    <t>Cohenovo d</t>
  </si>
  <si>
    <t>Výchozí vstupy: parkovací studie (list Parkovani).</t>
  </si>
  <si>
    <t>Předpokládá shodné rozptyly obou populací.</t>
  </si>
  <si>
    <t>Ve jmenovateli je společná směrodatná odchylka, ne chyba.</t>
  </si>
  <si>
    <t>Welchův t-test pro dva nezávislé výběry</t>
  </si>
  <si>
    <t>Průměr skupiny po běžném spánku m₁</t>
  </si>
  <si>
    <t>Velikost skupiny n₁</t>
  </si>
  <si>
    <t>Průměr skupiny po krátkém spánku m₂</t>
  </si>
  <si>
    <t>Velikost skupiny n₂</t>
  </si>
  <si>
    <t>Welchovy stupně volnosti</t>
  </si>
  <si>
    <t>P-hodnota oboustranně (T.TEST typu 3)</t>
  </si>
  <si>
    <t>Kvantil t-rozdělení bez zkrácení stupňů volnosti</t>
  </si>
  <si>
    <t>Pro srovnání: p-hodnota klasického testu</t>
  </si>
  <si>
    <t>Pro srovnání: T.INV.2T se zkrácenými stupni volnosti</t>
  </si>
  <si>
    <t>Data jsou na listu Spanek_skupiny.</t>
  </si>
  <si>
    <t>Stupně volnosti nejsou celé číslo; nezaokrouhlují se.</t>
  </si>
  <si>
    <t>T.INV a T.INV.2T by stupně volnosti zkrátily na celé číslo; tento vzorec vrací přesný kvantil.</t>
  </si>
  <si>
    <t>Neodpovídá p-hodnotě v B14; jen pro ukázku zkrácení.</t>
  </si>
  <si>
    <t>Změna ve dvou skupinách</t>
  </si>
  <si>
    <t>Změna po − před (body)</t>
  </si>
  <si>
    <t>Skupina</t>
  </si>
  <si>
    <t>Trénink: počet studentů</t>
  </si>
  <si>
    <t>Trénink: průměrná změna</t>
  </si>
  <si>
    <t>Trénink: směrodatná odchylka změn</t>
  </si>
  <si>
    <t>Kontrola: počet studentů</t>
  </si>
  <si>
    <t>Kontrola: průměrná změna</t>
  </si>
  <si>
    <t>Kontrola: směrodatná odchylka změn</t>
  </si>
  <si>
    <t>Trénink: t změny (párový t-test)</t>
  </si>
  <si>
    <t>Trénink: p-hodnota oboustranně</t>
  </si>
  <si>
    <t>Kontrola: t změny (párový t-test)</t>
  </si>
  <si>
    <t>Kontrola: p-hodnota oboustranně</t>
  </si>
  <si>
    <t>Rozdíl průměrných změn trénink − kontrola</t>
  </si>
  <si>
    <t>Společná směrodatná odchylka změn</t>
  </si>
  <si>
    <t>Odhad směrodatné chyby rozdílu změn</t>
  </si>
  <si>
    <t>Testová statistika t rozdílu změn</t>
  </si>
  <si>
    <t>P-hodnota rozdílu změn oboustranně</t>
  </si>
  <si>
    <t>Dolní mez intervalu pro rozdíl změn</t>
  </si>
  <si>
    <t>Horní mez intervalu pro rozdíl změn</t>
  </si>
  <si>
    <t>Data jsou na listu Trenink; řádky 2–17 trénink, 18–33 kontrola.</t>
  </si>
  <si>
    <t>Testy uvnitř skupin samy rozdíl mezi skupinami nedokládají.</t>
  </si>
  <si>
    <t>O účinku tréninku rozhoduje rozdíl změn.</t>
  </si>
  <si>
    <t>Test rozdílu a test ekvivalence dvou skupin</t>
  </si>
  <si>
    <t>Hranice ekvivalence Δ, zvolená předem</t>
  </si>
  <si>
    <t>Průměr první skupiny m₁ (online)</t>
  </si>
  <si>
    <t>Průměr druhé skupiny m₂ (papír)</t>
  </si>
  <si>
    <t>Hladina významnosti</t>
  </si>
  <si>
    <t>Test rozdílu: oboustranná p-hodnota</t>
  </si>
  <si>
    <t>Test rozdílu: rozhodnutí</t>
  </si>
  <si>
    <t>Test ekvivalence: závěr</t>
  </si>
  <si>
    <t>Nepovinně: t vůči dolní hranici</t>
  </si>
  <si>
    <t>Nepovinně: p-hodnota vůči dolní hranici</t>
  </si>
  <si>
    <t>Nepovinně: t vůči horní hranici</t>
  </si>
  <si>
    <t>Nepovinně: p-hodnota vůči horní hranici</t>
  </si>
  <si>
    <t>Nepovinně: výsledná p-hodnota TOST</t>
  </si>
  <si>
    <t>Hranice stanovte před analýzou, ne podle výsledku.</t>
  </si>
  <si>
    <t>Výchozí vstupy: velká studie z listu Ekv_studie.</t>
  </si>
  <si>
    <t>dva jednostranné testy, každý na hladině B9.</t>
  </si>
  <si>
    <t>Interval nesmí přesáhnout hranice −Δ a Δ; přesný dotyk připouštíme.</t>
  </si>
  <si>
    <t>Větší z obou p-hodnot; nejvýše B9 znamená ekvivalenci.</t>
  </si>
  <si>
    <t>Skór po běžném spánku (body)</t>
  </si>
  <si>
    <t>Skór po krátkém spánku (body)</t>
  </si>
  <si>
    <t>Použití a původ</t>
  </si>
  <si>
    <t>Výklad: párová data, neúplná dvojice a párový t-test</t>
  </si>
  <si>
    <t>Autorský ilustrační model skóru pozornosti; řádek je jeden student a obě hodnoty téhož studenta jsou ve stejném řádku. Student 9 se druhého měření nezúčastnil (prázdná buňka). Neúplnou dvojici vyřazujte celou; nemažte prázdnou buňku samostatně. Hotový výpočet je na listu Parovy_test.</t>
  </si>
  <si>
    <t>Skupina po běžném spánku (body)</t>
  </si>
  <si>
    <t>Skupina po krátkém spánku (body)</t>
  </si>
  <si>
    <t>Výklad: dvě nezávislé skupiny, klasický a Welchův t-test</t>
  </si>
  <si>
    <t>Autorský ilustrační model; každá hodnota je jiný student. Hodnoty ve stejném řádku k sobě nepatří, skupiny jsou nezávislé (30 a 12 studentů). Hotový výpočet je na listu Welch.</t>
  </si>
  <si>
    <t>Vstup</t>
  </si>
  <si>
    <t>Řidiči s čekajícím autem</t>
  </si>
  <si>
    <t>Řidiči bez čekajícího auta</t>
  </si>
  <si>
    <t>Průměr doby odjezdu (s)</t>
  </si>
  <si>
    <t>Výběrová směrodatná odchylka (s)</t>
  </si>
  <si>
    <t>Počet řidičů</t>
  </si>
  <si>
    <t>Výklad: klasický t-test, interval a Cohenovo d</t>
  </si>
  <si>
    <t>Souhrny podle Howella (2013, s. 86) ze studie Rubacka a Juienga (1997); jednotlivé hodnoty sešit neobsahuje. Hotový výpočet je na listu Klasicky_test.</t>
  </si>
  <si>
    <t>Počet dívek</t>
  </si>
  <si>
    <t>Průměrná hmotnost před terapií (kg)</t>
  </si>
  <si>
    <t>Průměrná hmotnost po terapii (kg)</t>
  </si>
  <si>
    <t>Průměrná změna po − před (kg)</t>
  </si>
  <si>
    <t>Směrodatná odchylka změn (kg)</t>
  </si>
  <si>
    <t>Směrodatná odchylka hmotnosti před terapií (kg)</t>
  </si>
  <si>
    <t>Výklad: měření před a po bez kontrolní skupiny; volba směrodatné odchylky pro d</t>
  </si>
  <si>
    <t>Skutečná data: Everitt podle Howella (2013, tab. 7.3, s. 198–199). Howell uvádí libry; souhrny byly spočítány z hodnot převedených na kilogramy (1 lb = 0,45359237 kg) a zaokrouhleny na tři desetinná místa. Jednotlivé hodnoty sešit neobsahuje.</t>
  </si>
  <si>
    <t>Krátký spánek</t>
  </si>
  <si>
    <t>Běžný spánek</t>
  </si>
  <si>
    <t>Průměr (body)</t>
  </si>
  <si>
    <t>Výběrová směrodatná odchylka (body)</t>
  </si>
  <si>
    <t>Počet studentů</t>
  </si>
  <si>
    <t>Výklad: intervaly dvou skupin a interval rozdílu</t>
  </si>
  <si>
    <t>Autorský ilustrační model dvou nezávislých skupin. Interval rozdílu lze spočítat na listu Klasicky_test po přepsání vstupů.</t>
  </si>
  <si>
    <t>Skór před (body)</t>
  </si>
  <si>
    <t>Skór po (body)</t>
  </si>
  <si>
    <t>trénink</t>
  </si>
  <si>
    <t>kontrola</t>
  </si>
  <si>
    <t>Výklad: změna ve dvou skupinách</t>
  </si>
  <si>
    <t>Autorský ilustrační model; řádek je jeden student, studenti byli do skupin náhodně přiřazeni. Hotový výpočet je na listu Zmeny.</t>
  </si>
  <si>
    <t>Studie</t>
  </si>
  <si>
    <t>Průměr online (body)</t>
  </si>
  <si>
    <t>Průměr papír (body)</t>
  </si>
  <si>
    <t>Výběrová směrodatná odchylka v obou skupinách (body)</t>
  </si>
  <si>
    <t>Počet studentů v každé skupině</t>
  </si>
  <si>
    <t>velká</t>
  </si>
  <si>
    <t>malá</t>
  </si>
  <si>
    <t>Výklad: ekvivalence online a papírové verze testu</t>
  </si>
  <si>
    <t>Smyšlené studie s náhodným přiřazením k verzím. Hranice ekvivalence pro rozdíl online − papír jsou −3 a 3 body, stanovené předem. Řádek je studie. Hotový výpočet je na listu Ekvivalence_skupin.</t>
  </si>
  <si>
    <t>Průměrný pokles skóru úzkosti před − po (body)</t>
  </si>
  <si>
    <t>Směrodatná odchylka poklesů (body)</t>
  </si>
  <si>
    <t>Cvičení 2</t>
  </si>
  <si>
    <t>Autorské ilustrační údaje. Nejde o skutečný výzkum.</t>
  </si>
  <si>
    <t>Kongruentní verze (ms)</t>
  </si>
  <si>
    <t>Nekongruentní verze (ms)</t>
  </si>
  <si>
    <t>Cvičení 3</t>
  </si>
  <si>
    <t>Autorské ilustrační údaje; průměrná reakční doba studenta v milisekundách. Řádek je jeden student; prázdná buňka znamená chybějící měření.</t>
  </si>
  <si>
    <t>Kontrolní skupina</t>
  </si>
  <si>
    <t>Skupina s hrozbou stereotypu</t>
  </si>
  <si>
    <t>Průměrný počet vyřešených úloh</t>
  </si>
  <si>
    <t>Výběrová směrodatná odchylka</t>
  </si>
  <si>
    <t>Cvičení 5, 13 a 14</t>
  </si>
  <si>
    <t>Souhrny podle Howella (2013, s. 215–217), který zkonstruoval data podle studie Aronsona et al. (1998); nejde o původní data studie.</t>
  </si>
  <si>
    <t>Hudba v pozadí: doba řešení (s)</t>
  </si>
  <si>
    <t>Ticho: doba řešení (s)</t>
  </si>
  <si>
    <t>Cvičení 6</t>
  </si>
  <si>
    <t>Autorské ilustrační údaje; každá hodnota je jiný student, hodnoty ve stejném řádku k sobě nepatří (10 a 25 studentů).</t>
  </si>
  <si>
    <t>Počet lidí</t>
  </si>
  <si>
    <t>Směrodatná odchylka skóru před kurzem (body)</t>
  </si>
  <si>
    <t>Směrodatná odchylka skóru po kurzu (body)</t>
  </si>
  <si>
    <t>Průměrná změna po − před (body)</t>
  </si>
  <si>
    <t>Směrodatná odchylka změn (body)</t>
  </si>
  <si>
    <t>Cvičení 7 a 14</t>
  </si>
  <si>
    <t>Paměťová skupina</t>
  </si>
  <si>
    <t>Počet seniorů</t>
  </si>
  <si>
    <t>Cvičení 9</t>
  </si>
  <si>
    <t>Hranice ekvivalence Δ (body)</t>
  </si>
  <si>
    <t>Průměr tabletové verze (body)</t>
  </si>
  <si>
    <t>Směrodatná odchylka, tablet (body)</t>
  </si>
  <si>
    <t>Počet lidí, tablet</t>
  </si>
  <si>
    <t>Průměr papírové verze (body)</t>
  </si>
  <si>
    <t>Směrodatná odchylka, papír (body)</t>
  </si>
  <si>
    <t>Počet lidí, papír</t>
  </si>
  <si>
    <t>Cvičení 10</t>
  </si>
  <si>
    <t>Pořadí vstupů odpovídá buňkám B2:B8 listu Ekvivalence_skupin. V části c) změňte oba počty na 40.</t>
  </si>
  <si>
    <t>Data ke kapitole 8</t>
  </si>
  <si>
    <t>Začněte vstupy. Žluté buňky obsahují data; modré buňky na výpočtových listech vzorce.</t>
  </si>
  <si>
    <t>Zadání a vysvětlení jsou v kapitole. Řešení otevírejte až po vlastním pokusu.</t>
  </si>
  <si>
    <t>List</t>
  </si>
  <si>
    <t>Oblast vstupů / tabulky</t>
  </si>
  <si>
    <t>Příklad nebo cvičení</t>
  </si>
  <si>
    <t>Spanek_par</t>
  </si>
  <si>
    <t>A2:C14</t>
  </si>
  <si>
    <t>Spanek_skupiny</t>
  </si>
  <si>
    <t>A2:B31</t>
  </si>
  <si>
    <t>Parkovani</t>
  </si>
  <si>
    <t>A2:C4</t>
  </si>
  <si>
    <t>Anorexie</t>
  </si>
  <si>
    <t>A2:B7</t>
  </si>
  <si>
    <t>Vedle_sebe</t>
  </si>
  <si>
    <t>Trenink</t>
  </si>
  <si>
    <t>A2:D33</t>
  </si>
  <si>
    <t>Ekv_studie</t>
  </si>
  <si>
    <t>A2:E3</t>
  </si>
  <si>
    <t>U02_relaxace</t>
  </si>
  <si>
    <t>A2:B4</t>
  </si>
  <si>
    <t>U03_stroop</t>
  </si>
  <si>
    <t>A2:C16</t>
  </si>
  <si>
    <t>U05_hrozba</t>
  </si>
  <si>
    <t>U06_hudba</t>
  </si>
  <si>
    <t>A2:B26</t>
  </si>
  <si>
    <t>U07_standardizace</t>
  </si>
  <si>
    <t>A2:B6</t>
  </si>
  <si>
    <t>U09_zmeny</t>
  </si>
  <si>
    <t>U10_verze</t>
  </si>
  <si>
    <t>A2:B8</t>
  </si>
  <si>
    <t>Parovy_test</t>
  </si>
  <si>
    <t>A1:I14</t>
  </si>
  <si>
    <t>Hotový párový t-test s výběrem úplných dvojic</t>
  </si>
  <si>
    <t>Klasicky_test</t>
  </si>
  <si>
    <t>A1:B20</t>
  </si>
  <si>
    <t>Hotový klasický t-test, interval a Cohenovo d ze souhrnů</t>
  </si>
  <si>
    <t>Welch</t>
  </si>
  <si>
    <t>Hotový Welchův t-test a interval; B19:B20 pro srovnání</t>
  </si>
  <si>
    <t>Zmeny</t>
  </si>
  <si>
    <t>A1:G33</t>
  </si>
  <si>
    <t>Hotové změny jednotlivců a test rozdílu změn</t>
  </si>
  <si>
    <t>Ekvivalence_skupin</t>
  </si>
  <si>
    <t>A1:B27</t>
  </si>
  <si>
    <t>Hotový test rozdílu a test ekvivalence dvou skupin; B23:B27 nepovinně</t>
  </si>
  <si>
    <t>Slovní úlohy 1, 4, 8, 11 a 12 nevyžadují vlastní datový list.</t>
  </si>
  <si>
    <t>Prázdná buňka ve vstupech znamená chybějící hodnotu; hodnoty ve stejném řádku k sobě patří jen u párových dat.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</si>
</sst>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rgb="FF223744"/>
      <name val="Arial"/>
      <family val="2"/>
      <charset val="238"/>
    </font>
    <font>
      <b/>
      <sz val="11"/>
      <color rgb="FFFFFFFF"/>
      <name val="Arial"/>
      <family val="2"/>
      <charset val="238"/>
    </font>
    <font>
      <sz val="11"/>
      <color rgb="FF526775"/>
      <name val="Arial"/>
      <family val="2"/>
      <charset val="238"/>
    </font>
    <font>
      <b/>
      <sz val="16"/>
      <color rgb="FF223744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234F62"/>
        <bgColor indexed="64"/>
      </patternFill>
    </fill>
    <fill>
      <patternFill patternType="solid">
        <fgColor rgb="FFEAF4F8"/>
        <bgColor indexed="64"/>
      </patternFill>
    </fill>
    <fill>
      <patternFill patternType="solid">
        <fgColor rgb="FFFFF1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2" fillId="2" borderId="0" xfId="0" applyNumberFormat="1" applyFont="1" applyFill="1" applyAlignment="1">
      <alignment vertical="center" wrapText="1"/>
    </xf>
    <xf numFmtId="1" fontId="1" fillId="3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2" fontId="1" fillId="4" borderId="0" xfId="0" applyNumberFormat="1" applyFont="1" applyFill="1" applyAlignment="1">
      <alignment vertical="center"/>
    </xf>
    <xf numFmtId="2" fontId="1" fillId="3" borderId="0" xfId="0" applyNumberFormat="1" applyFont="1" applyFill="1" applyAlignment="1">
      <alignment vertical="center"/>
    </xf>
    <xf numFmtId="0" fontId="3" fillId="0" borderId="0" xfId="0" applyNumberFormat="1" applyFont="1" applyAlignment="1">
      <alignment vertical="center" wrapText="1"/>
    </xf>
    <xf numFmtId="1" fontId="1" fillId="4" borderId="0" xfId="0" applyNumberFormat="1" applyFont="1" applyFill="1" applyAlignment="1">
      <alignment vertical="center"/>
    </xf>
    <xf numFmtId="0" fontId="1" fillId="3" borderId="0" xfId="0" applyNumberFormat="1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1" fillId="4" borderId="0" xfId="0" applyNumberFormat="1" applyFont="1" applyFill="1" applyAlignment="1">
      <alignment vertical="center" wrapText="1"/>
    </xf>
    <xf numFmtId="0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853A-BE4B-4509-9D5B-4709D32AE0CD}">
  <dimension ref="A1:C29"/>
  <sheetViews>
    <sheetView showGridLines="0" tabSelected="1" workbookViewId="0">
      <pane ySplit="7" topLeftCell="A8" activePane="bottomLeft" state="frozenSplit"/>
      <selection pane="bottomLeft" sqref="A1:C1"/>
    </sheetView>
  </sheetViews>
  <sheetFormatPr defaultRowHeight="14.3" x14ac:dyDescent="0.25"/>
  <cols>
    <col min="1" max="2" width="25.625" customWidth="1"/>
    <col min="3" max="3" width="78.625" customWidth="1"/>
  </cols>
  <sheetData>
    <row r="1" spans="1:3" ht="30.1" customHeight="1" x14ac:dyDescent="0.25">
      <c r="A1" s="20" t="s">
        <v>178</v>
      </c>
      <c r="B1" s="18"/>
      <c r="C1" s="18"/>
    </row>
    <row r="2" spans="1:3" ht="30.1" customHeight="1" x14ac:dyDescent="0.25">
      <c r="A2" s="1"/>
      <c r="B2" s="1"/>
      <c r="C2" s="1"/>
    </row>
    <row r="3" spans="1:3" ht="30.1" customHeight="1" x14ac:dyDescent="0.25">
      <c r="A3" s="19" t="s">
        <v>179</v>
      </c>
      <c r="B3" s="18"/>
      <c r="C3" s="18"/>
    </row>
    <row r="4" spans="1:3" ht="30.1" customHeight="1" x14ac:dyDescent="0.25">
      <c r="A4" s="19" t="s">
        <v>180</v>
      </c>
      <c r="B4" s="18"/>
      <c r="C4" s="18"/>
    </row>
    <row r="5" spans="1:3" ht="30.1" customHeight="1" x14ac:dyDescent="0.25">
      <c r="A5" s="19" t="s">
        <v>223</v>
      </c>
      <c r="B5" s="18"/>
      <c r="C5" s="18"/>
    </row>
    <row r="6" spans="1:3" ht="30.1" customHeight="1" x14ac:dyDescent="0.25">
      <c r="A6" s="19" t="s">
        <v>224</v>
      </c>
      <c r="B6" s="18"/>
      <c r="C6" s="18"/>
    </row>
    <row r="7" spans="1:3" ht="30.1" customHeight="1" x14ac:dyDescent="0.25">
      <c r="A7" s="3" t="s">
        <v>181</v>
      </c>
      <c r="B7" s="3" t="s">
        <v>182</v>
      </c>
      <c r="C7" s="3" t="s">
        <v>183</v>
      </c>
    </row>
    <row r="8" spans="1:3" ht="30.1" customHeight="1" x14ac:dyDescent="0.25">
      <c r="A8" s="2" t="s">
        <v>184</v>
      </c>
      <c r="B8" s="2" t="s">
        <v>185</v>
      </c>
      <c r="C8" s="2" t="s">
        <v>98</v>
      </c>
    </row>
    <row r="9" spans="1:3" ht="30.1" customHeight="1" x14ac:dyDescent="0.25">
      <c r="A9" s="2" t="s">
        <v>186</v>
      </c>
      <c r="B9" s="2" t="s">
        <v>187</v>
      </c>
      <c r="C9" s="2" t="s">
        <v>102</v>
      </c>
    </row>
    <row r="10" spans="1:3" ht="30.1" customHeight="1" x14ac:dyDescent="0.25">
      <c r="A10" s="2" t="s">
        <v>188</v>
      </c>
      <c r="B10" s="2" t="s">
        <v>189</v>
      </c>
      <c r="C10" s="2" t="s">
        <v>110</v>
      </c>
    </row>
    <row r="11" spans="1:3" ht="30.1" customHeight="1" x14ac:dyDescent="0.25">
      <c r="A11" s="2" t="s">
        <v>190</v>
      </c>
      <c r="B11" s="2" t="s">
        <v>191</v>
      </c>
      <c r="C11" s="2" t="s">
        <v>118</v>
      </c>
    </row>
    <row r="12" spans="1:3" ht="30.1" customHeight="1" x14ac:dyDescent="0.25">
      <c r="A12" s="2" t="s">
        <v>192</v>
      </c>
      <c r="B12" s="2" t="s">
        <v>189</v>
      </c>
      <c r="C12" s="2" t="s">
        <v>125</v>
      </c>
    </row>
    <row r="13" spans="1:3" ht="30.1" customHeight="1" x14ac:dyDescent="0.25">
      <c r="A13" s="2" t="s">
        <v>193</v>
      </c>
      <c r="B13" s="2" t="s">
        <v>194</v>
      </c>
      <c r="C13" s="2" t="s">
        <v>131</v>
      </c>
    </row>
    <row r="14" spans="1:3" ht="30.1" customHeight="1" x14ac:dyDescent="0.25">
      <c r="A14" s="2" t="s">
        <v>195</v>
      </c>
      <c r="B14" s="2" t="s">
        <v>196</v>
      </c>
      <c r="C14" s="2" t="s">
        <v>140</v>
      </c>
    </row>
    <row r="15" spans="1:3" ht="30.1" customHeight="1" x14ac:dyDescent="0.25">
      <c r="A15" s="2" t="s">
        <v>197</v>
      </c>
      <c r="B15" s="2" t="s">
        <v>198</v>
      </c>
      <c r="C15" s="2" t="s">
        <v>144</v>
      </c>
    </row>
    <row r="16" spans="1:3" ht="30.1" customHeight="1" x14ac:dyDescent="0.25">
      <c r="A16" s="2" t="s">
        <v>199</v>
      </c>
      <c r="B16" s="2" t="s">
        <v>200</v>
      </c>
      <c r="C16" s="2" t="s">
        <v>148</v>
      </c>
    </row>
    <row r="17" spans="1:3" ht="30.1" customHeight="1" x14ac:dyDescent="0.25">
      <c r="A17" s="2" t="s">
        <v>201</v>
      </c>
      <c r="B17" s="2" t="s">
        <v>189</v>
      </c>
      <c r="C17" s="2" t="s">
        <v>154</v>
      </c>
    </row>
    <row r="18" spans="1:3" ht="30.1" customHeight="1" x14ac:dyDescent="0.25">
      <c r="A18" s="2" t="s">
        <v>202</v>
      </c>
      <c r="B18" s="2" t="s">
        <v>203</v>
      </c>
      <c r="C18" s="2" t="s">
        <v>158</v>
      </c>
    </row>
    <row r="19" spans="1:3" ht="30.1" customHeight="1" x14ac:dyDescent="0.25">
      <c r="A19" s="2" t="s">
        <v>204</v>
      </c>
      <c r="B19" s="2" t="s">
        <v>205</v>
      </c>
      <c r="C19" s="2" t="s">
        <v>165</v>
      </c>
    </row>
    <row r="20" spans="1:3" ht="30.1" customHeight="1" x14ac:dyDescent="0.25">
      <c r="A20" s="2" t="s">
        <v>206</v>
      </c>
      <c r="B20" s="2" t="s">
        <v>189</v>
      </c>
      <c r="C20" s="2" t="s">
        <v>168</v>
      </c>
    </row>
    <row r="21" spans="1:3" ht="30.1" customHeight="1" x14ac:dyDescent="0.25">
      <c r="A21" s="2" t="s">
        <v>207</v>
      </c>
      <c r="B21" s="2" t="s">
        <v>208</v>
      </c>
      <c r="C21" s="2" t="s">
        <v>176</v>
      </c>
    </row>
    <row r="22" spans="1:3" ht="30.1" customHeight="1" x14ac:dyDescent="0.25">
      <c r="A22" s="2" t="s">
        <v>209</v>
      </c>
      <c r="B22" s="2" t="s">
        <v>210</v>
      </c>
      <c r="C22" s="2" t="s">
        <v>211</v>
      </c>
    </row>
    <row r="23" spans="1:3" ht="30.1" customHeight="1" x14ac:dyDescent="0.25">
      <c r="A23" s="2" t="s">
        <v>212</v>
      </c>
      <c r="B23" s="2" t="s">
        <v>213</v>
      </c>
      <c r="C23" s="2" t="s">
        <v>214</v>
      </c>
    </row>
    <row r="24" spans="1:3" ht="30.1" customHeight="1" x14ac:dyDescent="0.25">
      <c r="A24" s="2" t="s">
        <v>215</v>
      </c>
      <c r="B24" s="2" t="s">
        <v>213</v>
      </c>
      <c r="C24" s="2" t="s">
        <v>216</v>
      </c>
    </row>
    <row r="25" spans="1:3" ht="30.1" customHeight="1" x14ac:dyDescent="0.25">
      <c r="A25" s="2" t="s">
        <v>217</v>
      </c>
      <c r="B25" s="2" t="s">
        <v>218</v>
      </c>
      <c r="C25" s="2" t="s">
        <v>219</v>
      </c>
    </row>
    <row r="26" spans="1:3" ht="30.1" customHeight="1" x14ac:dyDescent="0.25">
      <c r="A26" s="2" t="s">
        <v>220</v>
      </c>
      <c r="B26" s="2" t="s">
        <v>221</v>
      </c>
      <c r="C26" s="2" t="s">
        <v>222</v>
      </c>
    </row>
    <row r="27" spans="1:3" ht="30.1" customHeight="1" x14ac:dyDescent="0.25">
      <c r="A27" s="1"/>
      <c r="B27" s="1"/>
      <c r="C27" s="1"/>
    </row>
    <row r="28" spans="1:3" ht="30.1" customHeight="1" x14ac:dyDescent="0.25">
      <c r="A28" s="1"/>
      <c r="B28" s="1"/>
      <c r="C28" s="1"/>
    </row>
    <row r="29" spans="1:3" ht="30.1" customHeight="1" x14ac:dyDescent="0.25">
      <c r="A29" s="1"/>
      <c r="B29" s="1"/>
      <c r="C29" s="1"/>
    </row>
  </sheetData>
  <mergeCells count="5">
    <mergeCell ref="A1:C1"/>
    <mergeCell ref="A3:C3"/>
    <mergeCell ref="A4:C4"/>
    <mergeCell ref="A5:C5"/>
    <mergeCell ref="A6:C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53E9-F368-4D18-B2E8-5AC1F8FD8A48}">
  <dimension ref="A1:I33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6.625" customWidth="1"/>
    <col min="2" max="2" width="14.625" customWidth="1"/>
    <col min="3" max="3" width="3.625" customWidth="1"/>
    <col min="4" max="4" width="44.625" customWidth="1"/>
    <col min="5" max="5" width="3.625" customWidth="1"/>
    <col min="6" max="6" width="10.625" customWidth="1"/>
    <col min="7" max="9" width="16.625" customWidth="1"/>
  </cols>
  <sheetData>
    <row r="1" spans="1:9" ht="34" customHeight="1" x14ac:dyDescent="0.25">
      <c r="A1" s="4" t="s">
        <v>0</v>
      </c>
      <c r="B1" s="4" t="s">
        <v>1</v>
      </c>
      <c r="C1" s="1"/>
      <c r="D1" s="1"/>
      <c r="E1" s="1"/>
      <c r="F1" s="4" t="s">
        <v>2</v>
      </c>
      <c r="G1" s="4" t="s">
        <v>3</v>
      </c>
      <c r="H1" s="4" t="s">
        <v>4</v>
      </c>
      <c r="I1" s="4" t="s">
        <v>5</v>
      </c>
    </row>
    <row r="2" spans="1:9" ht="31.95" customHeight="1" x14ac:dyDescent="0.25">
      <c r="A2" s="2" t="s">
        <v>6</v>
      </c>
      <c r="B2" s="5">
        <f>COUNT(I2:I14)</f>
        <v>12</v>
      </c>
      <c r="C2" s="1"/>
      <c r="D2" s="10" t="s">
        <v>18</v>
      </c>
      <c r="E2" s="1"/>
      <c r="F2" s="5">
        <f>Spanek_par!A2</f>
        <v>1</v>
      </c>
      <c r="G2" s="5">
        <f>IF(AND(ISNUMBER(Spanek_par!B2),ISNUMBER(Spanek_par!C2)),Spanek_par!B2,"")</f>
        <v>58</v>
      </c>
      <c r="H2" s="5">
        <f>IF(AND(ISNUMBER(Spanek_par!B2),ISNUMBER(Spanek_par!C2)),Spanek_par!C2,"")</f>
        <v>53</v>
      </c>
      <c r="I2" s="5">
        <f>IF(G2="","",G2-H2)</f>
        <v>5</v>
      </c>
    </row>
    <row r="3" spans="1:9" ht="31.95" customHeight="1" x14ac:dyDescent="0.25">
      <c r="A3" s="2" t="s">
        <v>7</v>
      </c>
      <c r="B3" s="6">
        <f>AVERAGE(I2:I14)</f>
        <v>3.5</v>
      </c>
      <c r="C3" s="1"/>
      <c r="D3" s="10" t="s">
        <v>19</v>
      </c>
      <c r="E3" s="1"/>
      <c r="F3" s="5">
        <f>Spanek_par!A3</f>
        <v>2</v>
      </c>
      <c r="G3" s="5">
        <f>IF(AND(ISNUMBER(Spanek_par!B3),ISNUMBER(Spanek_par!C3)),Spanek_par!B3,"")</f>
        <v>44</v>
      </c>
      <c r="H3" s="5">
        <f>IF(AND(ISNUMBER(Spanek_par!B3),ISNUMBER(Spanek_par!C3)),Spanek_par!C3,"")</f>
        <v>42</v>
      </c>
      <c r="I3" s="5">
        <f>IF(G3="","",G3-H3)</f>
        <v>2</v>
      </c>
    </row>
    <row r="4" spans="1:9" x14ac:dyDescent="0.25">
      <c r="A4" s="2" t="s">
        <v>8</v>
      </c>
      <c r="B4" s="7">
        <f>_xlfn.STDEV.S(I2:I14)</f>
        <v>2.3931721056523969</v>
      </c>
      <c r="C4" s="1"/>
      <c r="D4" s="1"/>
      <c r="E4" s="1"/>
      <c r="F4" s="5">
        <f>Spanek_par!A4</f>
        <v>3</v>
      </c>
      <c r="G4" s="5">
        <f>IF(AND(ISNUMBER(Spanek_par!B4),ISNUMBER(Spanek_par!C4)),Spanek_par!B4,"")</f>
        <v>51</v>
      </c>
      <c r="H4" s="5">
        <f>IF(AND(ISNUMBER(Spanek_par!B4),ISNUMBER(Spanek_par!C4)),Spanek_par!C4,"")</f>
        <v>45</v>
      </c>
      <c r="I4" s="5">
        <f>IF(G4="","",G4-H4)</f>
        <v>6</v>
      </c>
    </row>
    <row r="5" spans="1:9" ht="31.95" customHeight="1" x14ac:dyDescent="0.25">
      <c r="A5" s="2" t="s">
        <v>9</v>
      </c>
      <c r="B5" s="8">
        <v>0.95</v>
      </c>
      <c r="C5" s="1"/>
      <c r="D5" s="10" t="s">
        <v>20</v>
      </c>
      <c r="E5" s="1"/>
      <c r="F5" s="5">
        <f>Spanek_par!A5</f>
        <v>4</v>
      </c>
      <c r="G5" s="5">
        <f>IF(AND(ISNUMBER(Spanek_par!B5),ISNUMBER(Spanek_par!C5)),Spanek_par!B5,"")</f>
        <v>39</v>
      </c>
      <c r="H5" s="5">
        <f>IF(AND(ISNUMBER(Spanek_par!B5),ISNUMBER(Spanek_par!C5)),Spanek_par!C5,"")</f>
        <v>38</v>
      </c>
      <c r="I5" s="5">
        <f>IF(G5="","",G5-H5)</f>
        <v>1</v>
      </c>
    </row>
    <row r="6" spans="1:9" x14ac:dyDescent="0.25">
      <c r="A6" s="1"/>
      <c r="B6" s="1"/>
      <c r="C6" s="1"/>
      <c r="D6" s="1"/>
      <c r="E6" s="1"/>
      <c r="F6" s="5">
        <f>Spanek_par!A6</f>
        <v>5</v>
      </c>
      <c r="G6" s="5">
        <f>IF(AND(ISNUMBER(Spanek_par!B6),ISNUMBER(Spanek_par!C6)),Spanek_par!B6,"")</f>
        <v>62</v>
      </c>
      <c r="H6" s="5">
        <f>IF(AND(ISNUMBER(Spanek_par!B6),ISNUMBER(Spanek_par!C6)),Spanek_par!C6,"")</f>
        <v>55</v>
      </c>
      <c r="I6" s="5">
        <f>IF(G6="","",G6-H6)</f>
        <v>7</v>
      </c>
    </row>
    <row r="7" spans="1:9" x14ac:dyDescent="0.25">
      <c r="A7" s="2" t="s">
        <v>10</v>
      </c>
      <c r="B7" s="7">
        <f>B4/SQRT(B2)</f>
        <v>0.69084927970775745</v>
      </c>
      <c r="C7" s="1"/>
      <c r="D7" s="1"/>
      <c r="E7" s="1"/>
      <c r="F7" s="5">
        <f>Spanek_par!A7</f>
        <v>6</v>
      </c>
      <c r="G7" s="5">
        <f>IF(AND(ISNUMBER(Spanek_par!B7),ISNUMBER(Spanek_par!C7)),Spanek_par!B7,"")</f>
        <v>47</v>
      </c>
      <c r="H7" s="5">
        <f>IF(AND(ISNUMBER(Spanek_par!B7),ISNUMBER(Spanek_par!C7)),Spanek_par!C7,"")</f>
        <v>44</v>
      </c>
      <c r="I7" s="5">
        <f>IF(G7="","",G7-H7)</f>
        <v>3</v>
      </c>
    </row>
    <row r="8" spans="1:9" x14ac:dyDescent="0.25">
      <c r="A8" s="2" t="s">
        <v>11</v>
      </c>
      <c r="B8" s="5">
        <f>B2-1</f>
        <v>11</v>
      </c>
      <c r="C8" s="1"/>
      <c r="D8" s="1"/>
      <c r="E8" s="1"/>
      <c r="F8" s="5">
        <f>Spanek_par!A8</f>
        <v>7</v>
      </c>
      <c r="G8" s="5">
        <f>IF(AND(ISNUMBER(Spanek_par!B8),ISNUMBER(Spanek_par!C8)),Spanek_par!B8,"")</f>
        <v>55</v>
      </c>
      <c r="H8" s="5">
        <f>IF(AND(ISNUMBER(Spanek_par!B8),ISNUMBER(Spanek_par!C8)),Spanek_par!C8,"")</f>
        <v>51</v>
      </c>
      <c r="I8" s="5">
        <f>IF(G8="","",G8-H8)</f>
        <v>4</v>
      </c>
    </row>
    <row r="9" spans="1:9" ht="31.95" customHeight="1" x14ac:dyDescent="0.25">
      <c r="A9" s="2" t="s">
        <v>12</v>
      </c>
      <c r="B9" s="7">
        <f>B3/B7</f>
        <v>5.0662280511902216</v>
      </c>
      <c r="C9" s="1"/>
      <c r="D9" s="10" t="s">
        <v>21</v>
      </c>
      <c r="E9" s="1"/>
      <c r="F9" s="5">
        <f>Spanek_par!A9</f>
        <v>8</v>
      </c>
      <c r="G9" s="5">
        <f>IF(AND(ISNUMBER(Spanek_par!B9),ISNUMBER(Spanek_par!C9)),Spanek_par!B9,"")</f>
        <v>42</v>
      </c>
      <c r="H9" s="5">
        <f>IF(AND(ISNUMBER(Spanek_par!B9),ISNUMBER(Spanek_par!C9)),Spanek_par!C9,"")</f>
        <v>43</v>
      </c>
      <c r="I9" s="5">
        <f>IF(G9="","",G9-H9)</f>
        <v>-1</v>
      </c>
    </row>
    <row r="10" spans="1:9" x14ac:dyDescent="0.25">
      <c r="A10" s="2" t="s">
        <v>13</v>
      </c>
      <c r="B10" s="7">
        <f>_xlfn.T.DIST.2T(ABS(B9),B8)</f>
        <v>3.6272293948505052E-4</v>
      </c>
      <c r="C10" s="1"/>
      <c r="D10" s="1"/>
      <c r="E10" s="1"/>
      <c r="F10" s="5">
        <f>Spanek_par!A10</f>
        <v>9</v>
      </c>
      <c r="G10" s="5" t="str">
        <f>IF(AND(ISNUMBER(Spanek_par!B10),ISNUMBER(Spanek_par!C10)),Spanek_par!B10,"")</f>
        <v/>
      </c>
      <c r="H10" s="5" t="str">
        <f>IF(AND(ISNUMBER(Spanek_par!B10),ISNUMBER(Spanek_par!C10)),Spanek_par!C10,"")</f>
        <v/>
      </c>
      <c r="I10" s="5" t="str">
        <f>IF(G10="","",G10-H10)</f>
        <v/>
      </c>
    </row>
    <row r="11" spans="1:9" x14ac:dyDescent="0.25">
      <c r="A11" s="2" t="s">
        <v>14</v>
      </c>
      <c r="B11" s="7">
        <f>_xlfn.T.INV(1-(1-B5)/2,B8)</f>
        <v>2.2009851600916384</v>
      </c>
      <c r="C11" s="1"/>
      <c r="D11" s="1"/>
      <c r="E11" s="1"/>
      <c r="F11" s="5">
        <f>Spanek_par!A11</f>
        <v>10</v>
      </c>
      <c r="G11" s="5">
        <f>IF(AND(ISNUMBER(Spanek_par!B11),ISNUMBER(Spanek_par!C11)),Spanek_par!B11,"")</f>
        <v>49</v>
      </c>
      <c r="H11" s="5">
        <f>IF(AND(ISNUMBER(Spanek_par!B11),ISNUMBER(Spanek_par!C11)),Spanek_par!C11,"")</f>
        <v>44</v>
      </c>
      <c r="I11" s="5">
        <f>IF(G11="","",G11-H11)</f>
        <v>5</v>
      </c>
    </row>
    <row r="12" spans="1:9" x14ac:dyDescent="0.25">
      <c r="A12" s="2" t="s">
        <v>15</v>
      </c>
      <c r="B12" s="9">
        <f>B3-B11*B7</f>
        <v>1.9794509875032285</v>
      </c>
      <c r="C12" s="1"/>
      <c r="D12" s="1"/>
      <c r="E12" s="1"/>
      <c r="F12" s="5">
        <f>Spanek_par!A12</f>
        <v>11</v>
      </c>
      <c r="G12" s="5">
        <f>IF(AND(ISNUMBER(Spanek_par!B12),ISNUMBER(Spanek_par!C12)),Spanek_par!B12,"")</f>
        <v>60</v>
      </c>
      <c r="H12" s="5">
        <f>IF(AND(ISNUMBER(Spanek_par!B12),ISNUMBER(Spanek_par!C12)),Spanek_par!C12,"")</f>
        <v>58</v>
      </c>
      <c r="I12" s="5">
        <f>IF(G12="","",G12-H12)</f>
        <v>2</v>
      </c>
    </row>
    <row r="13" spans="1:9" x14ac:dyDescent="0.25">
      <c r="A13" s="2" t="s">
        <v>16</v>
      </c>
      <c r="B13" s="9">
        <f>B3+B11*B7</f>
        <v>5.0205490124967715</v>
      </c>
      <c r="C13" s="1"/>
      <c r="D13" s="1"/>
      <c r="E13" s="1"/>
      <c r="F13" s="5">
        <f>Spanek_par!A13</f>
        <v>12</v>
      </c>
      <c r="G13" s="5">
        <f>IF(AND(ISNUMBER(Spanek_par!B13),ISNUMBER(Spanek_par!C13)),Spanek_par!B13,"")</f>
        <v>45</v>
      </c>
      <c r="H13" s="5">
        <f>IF(AND(ISNUMBER(Spanek_par!B13),ISNUMBER(Spanek_par!C13)),Spanek_par!C13,"")</f>
        <v>39</v>
      </c>
      <c r="I13" s="5">
        <f>IF(G13="","",G13-H13)</f>
        <v>6</v>
      </c>
    </row>
    <row r="14" spans="1:9" ht="31.95" customHeight="1" x14ac:dyDescent="0.25">
      <c r="A14" s="2" t="s">
        <v>17</v>
      </c>
      <c r="B14" s="7">
        <f>_xlfn.T.TEST(G2:G14,H2:H14,2,1)</f>
        <v>3.6272293948505052E-4</v>
      </c>
      <c r="C14" s="1"/>
      <c r="D14" s="10" t="s">
        <v>22</v>
      </c>
      <c r="E14" s="1"/>
      <c r="F14" s="5">
        <f>Spanek_par!A14</f>
        <v>13</v>
      </c>
      <c r="G14" s="5">
        <f>IF(AND(ISNUMBER(Spanek_par!B14),ISNUMBER(Spanek_par!C14)),Spanek_par!B14,"")</f>
        <v>52</v>
      </c>
      <c r="H14" s="5">
        <f>IF(AND(ISNUMBER(Spanek_par!B14),ISNUMBER(Spanek_par!C14)),Spanek_par!C14,"")</f>
        <v>50</v>
      </c>
      <c r="I14" s="5">
        <f>IF(G14="","",G14-H14)</f>
        <v>2</v>
      </c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3D61-4C19-4935-84A2-D75E26A5B310}">
  <dimension ref="A1:I33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50.625" customWidth="1"/>
    <col min="2" max="2" width="14.625" customWidth="1"/>
    <col min="3" max="3" width="3.625" customWidth="1"/>
    <col min="4" max="4" width="56.625" customWidth="1"/>
  </cols>
  <sheetData>
    <row r="1" spans="1:9" ht="34" customHeight="1" x14ac:dyDescent="0.25">
      <c r="A1" s="4" t="s">
        <v>23</v>
      </c>
      <c r="B1" s="4" t="s">
        <v>1</v>
      </c>
      <c r="C1" s="1"/>
      <c r="D1" s="1"/>
      <c r="E1" s="1"/>
      <c r="F1" s="1"/>
      <c r="G1" s="1"/>
      <c r="H1" s="1"/>
      <c r="I1" s="1"/>
    </row>
    <row r="2" spans="1:9" ht="31.95" customHeight="1" x14ac:dyDescent="0.25">
      <c r="A2" s="2" t="s">
        <v>24</v>
      </c>
      <c r="B2" s="8">
        <v>39.03</v>
      </c>
      <c r="C2" s="1"/>
      <c r="D2" s="10" t="s">
        <v>37</v>
      </c>
      <c r="E2" s="1"/>
      <c r="F2" s="1"/>
      <c r="G2" s="1"/>
      <c r="H2" s="1"/>
      <c r="I2" s="1"/>
    </row>
    <row r="3" spans="1:9" x14ac:dyDescent="0.25">
      <c r="A3" s="2" t="s">
        <v>25</v>
      </c>
      <c r="B3" s="8">
        <v>14.6</v>
      </c>
      <c r="C3" s="1"/>
      <c r="D3" s="1"/>
      <c r="E3" s="1"/>
      <c r="F3" s="1"/>
      <c r="G3" s="1"/>
      <c r="H3" s="1"/>
      <c r="I3" s="1"/>
    </row>
    <row r="4" spans="1:9" x14ac:dyDescent="0.25">
      <c r="A4" s="2" t="s">
        <v>26</v>
      </c>
      <c r="B4" s="11">
        <v>100</v>
      </c>
      <c r="C4" s="1"/>
      <c r="D4" s="1"/>
      <c r="E4" s="1"/>
      <c r="F4" s="1"/>
      <c r="G4" s="1"/>
      <c r="H4" s="1"/>
      <c r="I4" s="1"/>
    </row>
    <row r="5" spans="1:9" x14ac:dyDescent="0.25">
      <c r="A5" s="2" t="s">
        <v>27</v>
      </c>
      <c r="B5" s="8">
        <v>32.15</v>
      </c>
      <c r="C5" s="1"/>
      <c r="D5" s="1"/>
      <c r="E5" s="1"/>
      <c r="F5" s="1"/>
      <c r="G5" s="1"/>
      <c r="H5" s="1"/>
      <c r="I5" s="1"/>
    </row>
    <row r="6" spans="1:9" x14ac:dyDescent="0.25">
      <c r="A6" s="2" t="s">
        <v>28</v>
      </c>
      <c r="B6" s="8">
        <v>14.6</v>
      </c>
      <c r="C6" s="1"/>
      <c r="D6" s="1"/>
      <c r="E6" s="1"/>
      <c r="F6" s="1"/>
      <c r="G6" s="1"/>
      <c r="H6" s="1"/>
      <c r="I6" s="1"/>
    </row>
    <row r="7" spans="1:9" x14ac:dyDescent="0.25">
      <c r="A7" s="2" t="s">
        <v>29</v>
      </c>
      <c r="B7" s="11">
        <v>100</v>
      </c>
      <c r="C7" s="1"/>
      <c r="D7" s="1"/>
      <c r="E7" s="1"/>
      <c r="F7" s="1"/>
      <c r="G7" s="1"/>
      <c r="H7" s="1"/>
      <c r="I7" s="1"/>
    </row>
    <row r="8" spans="1:9" ht="31.95" customHeight="1" x14ac:dyDescent="0.25">
      <c r="A8" s="2" t="s">
        <v>9</v>
      </c>
      <c r="B8" s="8">
        <v>0.95</v>
      </c>
      <c r="C8" s="1"/>
      <c r="D8" s="10" t="s">
        <v>20</v>
      </c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2" t="s">
        <v>30</v>
      </c>
      <c r="B10" s="9">
        <f>B2-B5</f>
        <v>6.8800000000000026</v>
      </c>
      <c r="C10" s="1"/>
      <c r="D10" s="1"/>
      <c r="E10" s="1"/>
      <c r="F10" s="1"/>
      <c r="G10" s="1"/>
      <c r="H10" s="1"/>
      <c r="I10" s="1"/>
    </row>
    <row r="11" spans="1:9" ht="31.95" customHeight="1" x14ac:dyDescent="0.25">
      <c r="A11" s="2" t="s">
        <v>31</v>
      </c>
      <c r="B11" s="9">
        <f>((B4-1)*B3^2+(B7-1)*B6^2)/(B4+B7-2)</f>
        <v>213.16</v>
      </c>
      <c r="C11" s="1"/>
      <c r="D11" s="10" t="s">
        <v>38</v>
      </c>
      <c r="E11" s="1"/>
      <c r="F11" s="1"/>
      <c r="G11" s="1"/>
      <c r="H11" s="1"/>
      <c r="I11" s="1"/>
    </row>
    <row r="12" spans="1:9" x14ac:dyDescent="0.25">
      <c r="A12" s="2" t="s">
        <v>32</v>
      </c>
      <c r="B12" s="6">
        <f>SQRT(B11)</f>
        <v>14.6</v>
      </c>
      <c r="C12" s="1"/>
      <c r="D12" s="1"/>
      <c r="E12" s="1"/>
      <c r="F12" s="1"/>
      <c r="G12" s="1"/>
      <c r="H12" s="1"/>
      <c r="I12" s="1"/>
    </row>
    <row r="13" spans="1:9" x14ac:dyDescent="0.25">
      <c r="A13" s="2" t="s">
        <v>33</v>
      </c>
      <c r="B13" s="7">
        <f>B12*SQRT(1/B4+1/B7)</f>
        <v>2.0647518010647188</v>
      </c>
      <c r="C13" s="1"/>
      <c r="D13" s="1"/>
      <c r="E13" s="1"/>
      <c r="F13" s="1"/>
      <c r="G13" s="1"/>
      <c r="H13" s="1"/>
      <c r="I13" s="1"/>
    </row>
    <row r="14" spans="1:9" x14ac:dyDescent="0.25">
      <c r="A14" s="2" t="s">
        <v>11</v>
      </c>
      <c r="B14" s="5">
        <f>B4+B7-2</f>
        <v>198</v>
      </c>
      <c r="C14" s="1"/>
      <c r="D14" s="1"/>
      <c r="E14" s="1"/>
      <c r="F14" s="1"/>
      <c r="G14" s="1"/>
      <c r="H14" s="1"/>
      <c r="I14" s="1"/>
    </row>
    <row r="15" spans="1:9" x14ac:dyDescent="0.25">
      <c r="A15" s="2" t="s">
        <v>12</v>
      </c>
      <c r="B15" s="7">
        <f>B10/B13</f>
        <v>3.3321196264133213</v>
      </c>
      <c r="C15" s="1"/>
      <c r="D15" s="1"/>
      <c r="E15" s="1"/>
      <c r="F15" s="1"/>
      <c r="G15" s="1"/>
      <c r="H15" s="1"/>
      <c r="I15" s="1"/>
    </row>
    <row r="16" spans="1:9" x14ac:dyDescent="0.25">
      <c r="A16" s="2" t="s">
        <v>13</v>
      </c>
      <c r="B16" s="7">
        <f>_xlfn.T.DIST.2T(ABS(B15),B14)</f>
        <v>1.0283779587746923E-3</v>
      </c>
      <c r="C16" s="1"/>
      <c r="D16" s="1"/>
      <c r="E16" s="1"/>
      <c r="F16" s="1"/>
      <c r="G16" s="1"/>
      <c r="H16" s="1"/>
      <c r="I16" s="1"/>
    </row>
    <row r="17" spans="1:9" x14ac:dyDescent="0.25">
      <c r="A17" s="2" t="s">
        <v>14</v>
      </c>
      <c r="B17" s="7">
        <f>_xlfn.T.INV(1-(1-B8)/2,B14)</f>
        <v>1.9720174778363073</v>
      </c>
      <c r="C17" s="1"/>
      <c r="D17" s="1"/>
      <c r="E17" s="1"/>
      <c r="F17" s="1"/>
      <c r="G17" s="1"/>
      <c r="H17" s="1"/>
      <c r="I17" s="1"/>
    </row>
    <row r="18" spans="1:9" x14ac:dyDescent="0.25">
      <c r="A18" s="2" t="s">
        <v>34</v>
      </c>
      <c r="B18" s="9">
        <f>B10-B17*B13</f>
        <v>2.8082733609063828</v>
      </c>
      <c r="C18" s="1"/>
      <c r="D18" s="1"/>
      <c r="E18" s="1"/>
      <c r="F18" s="1"/>
      <c r="G18" s="1"/>
      <c r="H18" s="1"/>
      <c r="I18" s="1"/>
    </row>
    <row r="19" spans="1:9" x14ac:dyDescent="0.25">
      <c r="A19" s="2" t="s">
        <v>35</v>
      </c>
      <c r="B19" s="9">
        <f>B10+B17*B13</f>
        <v>10.951726639093621</v>
      </c>
      <c r="C19" s="1"/>
      <c r="D19" s="1"/>
      <c r="E19" s="1"/>
      <c r="F19" s="1"/>
      <c r="G19" s="1"/>
      <c r="H19" s="1"/>
      <c r="I19" s="1"/>
    </row>
    <row r="20" spans="1:9" ht="31.95" customHeight="1" x14ac:dyDescent="0.25">
      <c r="A20" s="2" t="s">
        <v>36</v>
      </c>
      <c r="B20" s="7">
        <f>B10/B12</f>
        <v>0.47123287671232894</v>
      </c>
      <c r="C20" s="1"/>
      <c r="D20" s="10" t="s">
        <v>39</v>
      </c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22B5-4BA7-402B-83B4-FCEE23DEABF6}">
  <dimension ref="A1:I33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52.625" customWidth="1"/>
    <col min="2" max="2" width="14.625" customWidth="1"/>
    <col min="3" max="3" width="3.625" customWidth="1"/>
    <col min="4" max="4" width="58.625" customWidth="1"/>
  </cols>
  <sheetData>
    <row r="1" spans="1:9" ht="34" customHeight="1" x14ac:dyDescent="0.25">
      <c r="A1" s="4" t="s">
        <v>40</v>
      </c>
      <c r="B1" s="4" t="s">
        <v>1</v>
      </c>
      <c r="C1" s="1"/>
      <c r="D1" s="1"/>
      <c r="E1" s="1"/>
      <c r="F1" s="1"/>
      <c r="G1" s="1"/>
      <c r="H1" s="1"/>
      <c r="I1" s="1"/>
    </row>
    <row r="2" spans="1:9" ht="31.95" customHeight="1" x14ac:dyDescent="0.25">
      <c r="A2" s="2" t="s">
        <v>41</v>
      </c>
      <c r="B2" s="6">
        <f>AVERAGE(Spanek_skupiny!A2:A31)</f>
        <v>50</v>
      </c>
      <c r="C2" s="1"/>
      <c r="D2" s="10" t="s">
        <v>50</v>
      </c>
      <c r="E2" s="1"/>
      <c r="F2" s="1"/>
      <c r="G2" s="1"/>
      <c r="H2" s="1"/>
      <c r="I2" s="1"/>
    </row>
    <row r="3" spans="1:9" x14ac:dyDescent="0.25">
      <c r="A3" s="2" t="s">
        <v>25</v>
      </c>
      <c r="B3" s="7">
        <f>_xlfn.STDEV.S(Spanek_skupiny!A2:A31)</f>
        <v>7.9697704721849014</v>
      </c>
      <c r="C3" s="1"/>
      <c r="D3" s="1"/>
      <c r="E3" s="1"/>
      <c r="F3" s="1"/>
      <c r="G3" s="1"/>
      <c r="H3" s="1"/>
      <c r="I3" s="1"/>
    </row>
    <row r="4" spans="1:9" x14ac:dyDescent="0.25">
      <c r="A4" s="2" t="s">
        <v>42</v>
      </c>
      <c r="B4" s="5">
        <f>COUNT(Spanek_skupiny!A2:A31)</f>
        <v>30</v>
      </c>
      <c r="C4" s="1"/>
      <c r="D4" s="1"/>
      <c r="E4" s="1"/>
      <c r="F4" s="1"/>
      <c r="G4" s="1"/>
      <c r="H4" s="1"/>
      <c r="I4" s="1"/>
    </row>
    <row r="5" spans="1:9" x14ac:dyDescent="0.25">
      <c r="A5" s="2" t="s">
        <v>43</v>
      </c>
      <c r="B5" s="6">
        <f>AVERAGE(Spanek_skupiny!B2:B13)</f>
        <v>42</v>
      </c>
      <c r="C5" s="1"/>
      <c r="D5" s="1"/>
      <c r="E5" s="1"/>
      <c r="F5" s="1"/>
      <c r="G5" s="1"/>
      <c r="H5" s="1"/>
      <c r="I5" s="1"/>
    </row>
    <row r="6" spans="1:9" x14ac:dyDescent="0.25">
      <c r="A6" s="2" t="s">
        <v>28</v>
      </c>
      <c r="B6" s="7">
        <f>_xlfn.STDEV.S(Spanek_skupiny!B2:B13)</f>
        <v>14</v>
      </c>
      <c r="C6" s="1"/>
      <c r="D6" s="1"/>
      <c r="E6" s="1"/>
      <c r="F6" s="1"/>
      <c r="G6" s="1"/>
      <c r="H6" s="1"/>
      <c r="I6" s="1"/>
    </row>
    <row r="7" spans="1:9" x14ac:dyDescent="0.25">
      <c r="A7" s="2" t="s">
        <v>44</v>
      </c>
      <c r="B7" s="5">
        <f>COUNT(Spanek_skupiny!B2:B13)</f>
        <v>12</v>
      </c>
      <c r="C7" s="1"/>
      <c r="D7" s="1"/>
      <c r="E7" s="1"/>
      <c r="F7" s="1"/>
      <c r="G7" s="1"/>
      <c r="H7" s="1"/>
      <c r="I7" s="1"/>
    </row>
    <row r="8" spans="1:9" ht="31.95" customHeight="1" x14ac:dyDescent="0.25">
      <c r="A8" s="2" t="s">
        <v>9</v>
      </c>
      <c r="B8" s="8">
        <v>0.95</v>
      </c>
      <c r="C8" s="1"/>
      <c r="D8" s="10" t="s">
        <v>20</v>
      </c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2" t="s">
        <v>30</v>
      </c>
      <c r="B10" s="6">
        <f>B2-B5</f>
        <v>8</v>
      </c>
      <c r="C10" s="1"/>
      <c r="D10" s="1"/>
      <c r="E10" s="1"/>
      <c r="F10" s="1"/>
      <c r="G10" s="1"/>
      <c r="H10" s="1"/>
      <c r="I10" s="1"/>
    </row>
    <row r="11" spans="1:9" x14ac:dyDescent="0.25">
      <c r="A11" s="2" t="s">
        <v>33</v>
      </c>
      <c r="B11" s="7">
        <f>SQRT(B3^2/B4+B6^2/B7)</f>
        <v>4.2954132179155566</v>
      </c>
      <c r="C11" s="1"/>
      <c r="D11" s="1"/>
      <c r="E11" s="1"/>
      <c r="F11" s="1"/>
      <c r="G11" s="1"/>
      <c r="H11" s="1"/>
      <c r="I11" s="1"/>
    </row>
    <row r="12" spans="1:9" ht="31.95" customHeight="1" x14ac:dyDescent="0.25">
      <c r="A12" s="2" t="s">
        <v>45</v>
      </c>
      <c r="B12" s="6">
        <f>(B3^2/B4+B6^2/B7)^2/((B3^2/B4)^2/(B4-1)+(B6^2/B7)^2/(B7-1))</f>
        <v>13.947731863361227</v>
      </c>
      <c r="C12" s="1"/>
      <c r="D12" s="10" t="s">
        <v>51</v>
      </c>
      <c r="E12" s="1"/>
      <c r="F12" s="1"/>
      <c r="G12" s="1"/>
      <c r="H12" s="1"/>
      <c r="I12" s="1"/>
    </row>
    <row r="13" spans="1:9" x14ac:dyDescent="0.25">
      <c r="A13" s="2" t="s">
        <v>12</v>
      </c>
      <c r="B13" s="7">
        <f>B10/B11</f>
        <v>1.8624517815033812</v>
      </c>
      <c r="C13" s="1"/>
      <c r="D13" s="1"/>
      <c r="E13" s="1"/>
      <c r="F13" s="1"/>
      <c r="G13" s="1"/>
      <c r="H13" s="1"/>
      <c r="I13" s="1"/>
    </row>
    <row r="14" spans="1:9" x14ac:dyDescent="0.25">
      <c r="A14" s="2" t="s">
        <v>46</v>
      </c>
      <c r="B14" s="7">
        <f>_xlfn.T.TEST(Spanek_skupiny!A2:A31,Spanek_skupiny!B2:B13,2,3)</f>
        <v>8.373723167807133E-2</v>
      </c>
      <c r="C14" s="1"/>
      <c r="D14" s="1"/>
      <c r="E14" s="1"/>
      <c r="F14" s="1"/>
      <c r="G14" s="1"/>
      <c r="H14" s="1"/>
      <c r="I14" s="1"/>
    </row>
    <row r="15" spans="1:9" ht="31.95" customHeight="1" x14ac:dyDescent="0.25">
      <c r="A15" s="2" t="s">
        <v>47</v>
      </c>
      <c r="B15" s="7">
        <f>SQRT(B12*(1-_xlfn.BETA.INV(1-B8,B12/2,0.5))/_xlfn.BETA.INV(1-B8,B12/2,0.5))</f>
        <v>2.1455409761004569</v>
      </c>
      <c r="C15" s="1"/>
      <c r="D15" s="10" t="s">
        <v>52</v>
      </c>
      <c r="E15" s="1"/>
      <c r="F15" s="1"/>
      <c r="G15" s="1"/>
      <c r="H15" s="1"/>
      <c r="I15" s="1"/>
    </row>
    <row r="16" spans="1:9" x14ac:dyDescent="0.25">
      <c r="A16" s="2" t="s">
        <v>34</v>
      </c>
      <c r="B16" s="9">
        <f>B10-B15*B11</f>
        <v>-1.2159850683213485</v>
      </c>
      <c r="C16" s="1"/>
      <c r="D16" s="1"/>
      <c r="E16" s="1"/>
      <c r="F16" s="1"/>
      <c r="G16" s="1"/>
      <c r="H16" s="1"/>
      <c r="I16" s="1"/>
    </row>
    <row r="17" spans="1:9" x14ac:dyDescent="0.25">
      <c r="A17" s="2" t="s">
        <v>35</v>
      </c>
      <c r="B17" s="9">
        <f>B10+B15*B11</f>
        <v>17.215985068321348</v>
      </c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2" t="s">
        <v>48</v>
      </c>
      <c r="B19" s="7">
        <f>_xlfn.T.TEST(Spanek_skupiny!A2:A31,Spanek_skupiny!B2:B13,2,2)</f>
        <v>2.4203749310741207E-2</v>
      </c>
      <c r="C19" s="1"/>
      <c r="D19" s="1"/>
      <c r="E19" s="1"/>
      <c r="F19" s="1"/>
      <c r="G19" s="1"/>
      <c r="H19" s="1"/>
      <c r="I19" s="1"/>
    </row>
    <row r="20" spans="1:9" ht="31.95" customHeight="1" x14ac:dyDescent="0.25">
      <c r="A20" s="2" t="s">
        <v>49</v>
      </c>
      <c r="B20" s="7">
        <f>_xlfn.T.INV.2T(1-B8,B12)</f>
        <v>2.1603686564627917</v>
      </c>
      <c r="C20" s="1"/>
      <c r="D20" s="10" t="s">
        <v>53</v>
      </c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DCF5-EE5C-414D-8383-942E93103657}">
  <dimension ref="A1:I33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52.625" customWidth="1"/>
    <col min="2" max="2" width="14.625" customWidth="1"/>
    <col min="3" max="3" width="3.625" customWidth="1"/>
    <col min="4" max="4" width="44.625" customWidth="1"/>
    <col min="5" max="5" width="3.625" customWidth="1"/>
    <col min="6" max="6" width="18.625" customWidth="1"/>
    <col min="7" max="7" width="14.625" customWidth="1"/>
  </cols>
  <sheetData>
    <row r="1" spans="1:9" ht="34" customHeight="1" x14ac:dyDescent="0.25">
      <c r="A1" s="4" t="s">
        <v>54</v>
      </c>
      <c r="B1" s="4" t="s">
        <v>1</v>
      </c>
      <c r="C1" s="1"/>
      <c r="D1" s="1"/>
      <c r="E1" s="1"/>
      <c r="F1" s="4" t="s">
        <v>55</v>
      </c>
      <c r="G1" s="4" t="s">
        <v>56</v>
      </c>
      <c r="H1" s="1"/>
      <c r="I1" s="1"/>
    </row>
    <row r="2" spans="1:9" ht="31.95" customHeight="1" x14ac:dyDescent="0.25">
      <c r="A2" s="2" t="s">
        <v>57</v>
      </c>
      <c r="B2" s="5">
        <f>COUNT(F2:F17)</f>
        <v>16</v>
      </c>
      <c r="C2" s="1"/>
      <c r="D2" s="10" t="s">
        <v>74</v>
      </c>
      <c r="E2" s="1"/>
      <c r="F2" s="5">
        <f>Trenink!D2-Trenink!C2</f>
        <v>12</v>
      </c>
      <c r="G2" s="12" t="str">
        <f>Trenink!B2</f>
        <v>trénink</v>
      </c>
      <c r="H2" s="1"/>
      <c r="I2" s="1"/>
    </row>
    <row r="3" spans="1:9" x14ac:dyDescent="0.25">
      <c r="A3" s="2" t="s">
        <v>58</v>
      </c>
      <c r="B3" s="6">
        <f>AVERAGE(F2:F17)</f>
        <v>4</v>
      </c>
      <c r="C3" s="1"/>
      <c r="D3" s="1"/>
      <c r="E3" s="1"/>
      <c r="F3" s="5">
        <f>Trenink!D3-Trenink!C3</f>
        <v>-3</v>
      </c>
      <c r="G3" s="12" t="str">
        <f>Trenink!B3</f>
        <v>trénink</v>
      </c>
      <c r="H3" s="1"/>
      <c r="I3" s="1"/>
    </row>
    <row r="4" spans="1:9" x14ac:dyDescent="0.25">
      <c r="A4" s="2" t="s">
        <v>59</v>
      </c>
      <c r="B4" s="7">
        <f>_xlfn.STDEV.S(F2:F17)</f>
        <v>6.8215345292194582</v>
      </c>
      <c r="C4" s="1"/>
      <c r="D4" s="1"/>
      <c r="E4" s="1"/>
      <c r="F4" s="5">
        <f>Trenink!D4-Trenink!C4</f>
        <v>8</v>
      </c>
      <c r="G4" s="12" t="str">
        <f>Trenink!B4</f>
        <v>trénink</v>
      </c>
      <c r="H4" s="1"/>
      <c r="I4" s="1"/>
    </row>
    <row r="5" spans="1:9" x14ac:dyDescent="0.25">
      <c r="A5" s="2" t="s">
        <v>60</v>
      </c>
      <c r="B5" s="5">
        <f>COUNT(F18:F33)</f>
        <v>16</v>
      </c>
      <c r="C5" s="1"/>
      <c r="D5" s="1"/>
      <c r="E5" s="1"/>
      <c r="F5" s="5">
        <f>Trenink!D5-Trenink!C5</f>
        <v>-4</v>
      </c>
      <c r="G5" s="12" t="str">
        <f>Trenink!B5</f>
        <v>trénink</v>
      </c>
      <c r="H5" s="1"/>
      <c r="I5" s="1"/>
    </row>
    <row r="6" spans="1:9" x14ac:dyDescent="0.25">
      <c r="A6" s="2" t="s">
        <v>61</v>
      </c>
      <c r="B6" s="6">
        <f>AVERAGE(F18:F33)</f>
        <v>2</v>
      </c>
      <c r="C6" s="1"/>
      <c r="D6" s="1"/>
      <c r="E6" s="1"/>
      <c r="F6" s="5">
        <f>Trenink!D6-Trenink!C6</f>
        <v>14</v>
      </c>
      <c r="G6" s="12" t="str">
        <f>Trenink!B6</f>
        <v>trénink</v>
      </c>
      <c r="H6" s="1"/>
      <c r="I6" s="1"/>
    </row>
    <row r="7" spans="1:9" x14ac:dyDescent="0.25">
      <c r="A7" s="2" t="s">
        <v>62</v>
      </c>
      <c r="B7" s="7">
        <f>_xlfn.STDEV.S(F18:F33)</f>
        <v>5.727128425310541</v>
      </c>
      <c r="C7" s="1"/>
      <c r="D7" s="1"/>
      <c r="E7" s="1"/>
      <c r="F7" s="5">
        <f>Trenink!D7-Trenink!C7</f>
        <v>5</v>
      </c>
      <c r="G7" s="12" t="str">
        <f>Trenink!B7</f>
        <v>trénink</v>
      </c>
      <c r="H7" s="1"/>
      <c r="I7" s="1"/>
    </row>
    <row r="8" spans="1:9" ht="31.95" customHeight="1" x14ac:dyDescent="0.25">
      <c r="A8" s="2" t="s">
        <v>9</v>
      </c>
      <c r="B8" s="8">
        <v>0.95</v>
      </c>
      <c r="C8" s="1"/>
      <c r="D8" s="10" t="s">
        <v>20</v>
      </c>
      <c r="E8" s="1"/>
      <c r="F8" s="5">
        <f>Trenink!D8-Trenink!C8</f>
        <v>9</v>
      </c>
      <c r="G8" s="12" t="str">
        <f>Trenink!B8</f>
        <v>trénink</v>
      </c>
      <c r="H8" s="1"/>
      <c r="I8" s="1"/>
    </row>
    <row r="9" spans="1:9" x14ac:dyDescent="0.25">
      <c r="A9" s="1"/>
      <c r="B9" s="1"/>
      <c r="C9" s="1"/>
      <c r="D9" s="1"/>
      <c r="E9" s="1"/>
      <c r="F9" s="5">
        <f>Trenink!D9-Trenink!C9</f>
        <v>-2</v>
      </c>
      <c r="G9" s="12" t="str">
        <f>Trenink!B9</f>
        <v>trénink</v>
      </c>
      <c r="H9" s="1"/>
      <c r="I9" s="1"/>
    </row>
    <row r="10" spans="1:9" ht="31.95" customHeight="1" x14ac:dyDescent="0.25">
      <c r="A10" s="2" t="s">
        <v>63</v>
      </c>
      <c r="B10" s="7">
        <f>B3/(B4/SQRT(B2))</f>
        <v>2.3455133051757446</v>
      </c>
      <c r="C10" s="1"/>
      <c r="D10" s="10" t="s">
        <v>75</v>
      </c>
      <c r="E10" s="1"/>
      <c r="F10" s="5">
        <f>Trenink!D10-Trenink!C10</f>
        <v>3</v>
      </c>
      <c r="G10" s="12" t="str">
        <f>Trenink!B10</f>
        <v>trénink</v>
      </c>
      <c r="H10" s="1"/>
      <c r="I10" s="1"/>
    </row>
    <row r="11" spans="1:9" x14ac:dyDescent="0.25">
      <c r="A11" s="2" t="s">
        <v>64</v>
      </c>
      <c r="B11" s="7">
        <f>_xlfn.T.DIST.2T(ABS(B10),B2-1)</f>
        <v>3.3166119686226528E-2</v>
      </c>
      <c r="C11" s="1"/>
      <c r="D11" s="1"/>
      <c r="E11" s="1"/>
      <c r="F11" s="5">
        <f>Trenink!D11-Trenink!C11</f>
        <v>10</v>
      </c>
      <c r="G11" s="12" t="str">
        <f>Trenink!B11</f>
        <v>trénink</v>
      </c>
      <c r="H11" s="1"/>
      <c r="I11" s="1"/>
    </row>
    <row r="12" spans="1:9" x14ac:dyDescent="0.25">
      <c r="A12" s="2" t="s">
        <v>65</v>
      </c>
      <c r="B12" s="7">
        <f>B6/(B7/SQRT(B5))</f>
        <v>1.3968605915391565</v>
      </c>
      <c r="C12" s="1"/>
      <c r="D12" s="1"/>
      <c r="E12" s="1"/>
      <c r="F12" s="5">
        <f>Trenink!D12-Trenink!C12</f>
        <v>-6</v>
      </c>
      <c r="G12" s="12" t="str">
        <f>Trenink!B12</f>
        <v>trénink</v>
      </c>
      <c r="H12" s="1"/>
      <c r="I12" s="1"/>
    </row>
    <row r="13" spans="1:9" x14ac:dyDescent="0.25">
      <c r="A13" s="2" t="s">
        <v>66</v>
      </c>
      <c r="B13" s="7">
        <f>_xlfn.T.DIST.2T(ABS(B12),B5-1)</f>
        <v>0.18278030794617697</v>
      </c>
      <c r="C13" s="1"/>
      <c r="D13" s="1"/>
      <c r="E13" s="1"/>
      <c r="F13" s="5">
        <f>Trenink!D13-Trenink!C13</f>
        <v>7</v>
      </c>
      <c r="G13" s="12" t="str">
        <f>Trenink!B13</f>
        <v>trénink</v>
      </c>
      <c r="H13" s="1"/>
      <c r="I13" s="1"/>
    </row>
    <row r="14" spans="1:9" x14ac:dyDescent="0.25">
      <c r="A14" s="1"/>
      <c r="B14" s="1"/>
      <c r="C14" s="1"/>
      <c r="D14" s="1"/>
      <c r="E14" s="1"/>
      <c r="F14" s="5">
        <f>Trenink!D14-Trenink!C14</f>
        <v>4</v>
      </c>
      <c r="G14" s="12" t="str">
        <f>Trenink!B14</f>
        <v>trénink</v>
      </c>
      <c r="H14" s="1"/>
      <c r="I14" s="1"/>
    </row>
    <row r="15" spans="1:9" x14ac:dyDescent="0.25">
      <c r="A15" s="2" t="s">
        <v>67</v>
      </c>
      <c r="B15" s="6">
        <f>B3-B6</f>
        <v>2</v>
      </c>
      <c r="C15" s="1"/>
      <c r="D15" s="1"/>
      <c r="E15" s="1"/>
      <c r="F15" s="5">
        <f>Trenink!D15-Trenink!C15</f>
        <v>13</v>
      </c>
      <c r="G15" s="12" t="str">
        <f>Trenink!B15</f>
        <v>trénink</v>
      </c>
      <c r="H15" s="1"/>
      <c r="I15" s="1"/>
    </row>
    <row r="16" spans="1:9" x14ac:dyDescent="0.25">
      <c r="A16" s="2" t="s">
        <v>68</v>
      </c>
      <c r="B16" s="7">
        <f>SQRT(((B2-1)*B4^2+(B5-1)*B7^2)/(B2+B5-2))</f>
        <v>6.2981478758970608</v>
      </c>
      <c r="C16" s="1"/>
      <c r="D16" s="1"/>
      <c r="E16" s="1"/>
      <c r="F16" s="5">
        <f>Trenink!D16-Trenink!C16</f>
        <v>0</v>
      </c>
      <c r="G16" s="12" t="str">
        <f>Trenink!B16</f>
        <v>trénink</v>
      </c>
      <c r="H16" s="1"/>
      <c r="I16" s="1"/>
    </row>
    <row r="17" spans="1:9" x14ac:dyDescent="0.25">
      <c r="A17" s="2" t="s">
        <v>69</v>
      </c>
      <c r="B17" s="7">
        <f>B16*SQRT(1/B2+1/B5)</f>
        <v>2.226731535981231</v>
      </c>
      <c r="C17" s="1"/>
      <c r="D17" s="1"/>
      <c r="E17" s="1"/>
      <c r="F17" s="5">
        <f>Trenink!D17-Trenink!C17</f>
        <v>-6</v>
      </c>
      <c r="G17" s="12" t="str">
        <f>Trenink!B17</f>
        <v>trénink</v>
      </c>
      <c r="H17" s="1"/>
      <c r="I17" s="1"/>
    </row>
    <row r="18" spans="1:9" x14ac:dyDescent="0.25">
      <c r="A18" s="2" t="s">
        <v>11</v>
      </c>
      <c r="B18" s="5">
        <f>B2+B5-2</f>
        <v>30</v>
      </c>
      <c r="C18" s="1"/>
      <c r="D18" s="1"/>
      <c r="E18" s="1"/>
      <c r="F18" s="5">
        <f>Trenink!D18-Trenink!C18</f>
        <v>6</v>
      </c>
      <c r="G18" s="12" t="str">
        <f>Trenink!B18</f>
        <v>kontrola</v>
      </c>
      <c r="H18" s="1"/>
      <c r="I18" s="1"/>
    </row>
    <row r="19" spans="1:9" ht="31.95" customHeight="1" x14ac:dyDescent="0.25">
      <c r="A19" s="2" t="s">
        <v>70</v>
      </c>
      <c r="B19" s="7">
        <f>B15/B17</f>
        <v>0.89817742627814379</v>
      </c>
      <c r="C19" s="1"/>
      <c r="D19" s="10" t="s">
        <v>76</v>
      </c>
      <c r="E19" s="1"/>
      <c r="F19" s="5">
        <f>Trenink!D19-Trenink!C19</f>
        <v>-7</v>
      </c>
      <c r="G19" s="12" t="str">
        <f>Trenink!B19</f>
        <v>kontrola</v>
      </c>
      <c r="H19" s="1"/>
      <c r="I19" s="1"/>
    </row>
    <row r="20" spans="1:9" x14ac:dyDescent="0.25">
      <c r="A20" s="2" t="s">
        <v>71</v>
      </c>
      <c r="B20" s="7">
        <f>_xlfn.T.DIST.2T(ABS(B19),B18)</f>
        <v>0.37624333003670452</v>
      </c>
      <c r="C20" s="1"/>
      <c r="D20" s="1"/>
      <c r="E20" s="1"/>
      <c r="F20" s="5">
        <f>Trenink!D20-Trenink!C20</f>
        <v>9</v>
      </c>
      <c r="G20" s="12" t="str">
        <f>Trenink!B20</f>
        <v>kontrola</v>
      </c>
      <c r="H20" s="1"/>
      <c r="I20" s="1"/>
    </row>
    <row r="21" spans="1:9" x14ac:dyDescent="0.25">
      <c r="A21" s="2" t="s">
        <v>72</v>
      </c>
      <c r="B21" s="9">
        <f>B15-_xlfn.T.INV(1-(1-B8)/2,B18)*B17</f>
        <v>-2.5475924835118162</v>
      </c>
      <c r="C21" s="1"/>
      <c r="D21" s="1"/>
      <c r="E21" s="1"/>
      <c r="F21" s="5">
        <f>Trenink!D21-Trenink!C21</f>
        <v>-3</v>
      </c>
      <c r="G21" s="12" t="str">
        <f>Trenink!B21</f>
        <v>kontrola</v>
      </c>
      <c r="H21" s="1"/>
      <c r="I21" s="1"/>
    </row>
    <row r="22" spans="1:9" x14ac:dyDescent="0.25">
      <c r="A22" s="2" t="s">
        <v>73</v>
      </c>
      <c r="B22" s="9">
        <f>B15+_xlfn.T.INV(1-(1-B8)/2,B18)*B17</f>
        <v>6.5475924835118162</v>
      </c>
      <c r="C22" s="1"/>
      <c r="D22" s="1"/>
      <c r="E22" s="1"/>
      <c r="F22" s="5">
        <f>Trenink!D22-Trenink!C22</f>
        <v>10</v>
      </c>
      <c r="G22" s="12" t="str">
        <f>Trenink!B22</f>
        <v>kontrola</v>
      </c>
      <c r="H22" s="1"/>
      <c r="I22" s="1"/>
    </row>
    <row r="23" spans="1:9" x14ac:dyDescent="0.25">
      <c r="A23" s="1"/>
      <c r="B23" s="1"/>
      <c r="C23" s="1"/>
      <c r="D23" s="1"/>
      <c r="E23" s="1"/>
      <c r="F23" s="5">
        <f>Trenink!D23-Trenink!C23</f>
        <v>1</v>
      </c>
      <c r="G23" s="12" t="str">
        <f>Trenink!B23</f>
        <v>kontrola</v>
      </c>
      <c r="H23" s="1"/>
      <c r="I23" s="1"/>
    </row>
    <row r="24" spans="1:9" x14ac:dyDescent="0.25">
      <c r="A24" s="1"/>
      <c r="B24" s="1"/>
      <c r="C24" s="1"/>
      <c r="D24" s="1"/>
      <c r="E24" s="1"/>
      <c r="F24" s="5">
        <f>Trenink!D24-Trenink!C24</f>
        <v>-6</v>
      </c>
      <c r="G24" s="12" t="str">
        <f>Trenink!B24</f>
        <v>kontrola</v>
      </c>
      <c r="H24" s="1"/>
      <c r="I24" s="1"/>
    </row>
    <row r="25" spans="1:9" x14ac:dyDescent="0.25">
      <c r="A25" s="1"/>
      <c r="B25" s="1"/>
      <c r="C25" s="1"/>
      <c r="D25" s="1"/>
      <c r="E25" s="1"/>
      <c r="F25" s="5">
        <f>Trenink!D25-Trenink!C25</f>
        <v>5</v>
      </c>
      <c r="G25" s="12" t="str">
        <f>Trenink!B25</f>
        <v>kontrola</v>
      </c>
      <c r="H25" s="1"/>
      <c r="I25" s="1"/>
    </row>
    <row r="26" spans="1:9" x14ac:dyDescent="0.25">
      <c r="A26" s="1"/>
      <c r="B26" s="1"/>
      <c r="C26" s="1"/>
      <c r="D26" s="1"/>
      <c r="E26" s="1"/>
      <c r="F26" s="5">
        <f>Trenink!D26-Trenink!C26</f>
        <v>2</v>
      </c>
      <c r="G26" s="12" t="str">
        <f>Trenink!B26</f>
        <v>kontrola</v>
      </c>
      <c r="H26" s="1"/>
      <c r="I26" s="1"/>
    </row>
    <row r="27" spans="1:9" x14ac:dyDescent="0.25">
      <c r="A27" s="1"/>
      <c r="B27" s="1"/>
      <c r="C27" s="1"/>
      <c r="D27" s="1"/>
      <c r="E27" s="1"/>
      <c r="F27" s="5">
        <f>Trenink!D27-Trenink!C27</f>
        <v>11</v>
      </c>
      <c r="G27" s="12" t="str">
        <f>Trenink!B27</f>
        <v>kontrola</v>
      </c>
      <c r="H27" s="1"/>
      <c r="I27" s="1"/>
    </row>
    <row r="28" spans="1:9" x14ac:dyDescent="0.25">
      <c r="A28" s="1"/>
      <c r="B28" s="1"/>
      <c r="C28" s="1"/>
      <c r="D28" s="1"/>
      <c r="E28" s="1"/>
      <c r="F28" s="5">
        <f>Trenink!D28-Trenink!C28</f>
        <v>-4</v>
      </c>
      <c r="G28" s="12" t="str">
        <f>Trenink!B28</f>
        <v>kontrola</v>
      </c>
      <c r="H28" s="1"/>
      <c r="I28" s="1"/>
    </row>
    <row r="29" spans="1:9" x14ac:dyDescent="0.25">
      <c r="A29" s="1"/>
      <c r="B29" s="1"/>
      <c r="C29" s="1"/>
      <c r="D29" s="1"/>
      <c r="E29" s="1"/>
      <c r="F29" s="5">
        <f>Trenink!D29-Trenink!C29</f>
        <v>3</v>
      </c>
      <c r="G29" s="12" t="str">
        <f>Trenink!B29</f>
        <v>kontrola</v>
      </c>
      <c r="H29" s="1"/>
      <c r="I29" s="1"/>
    </row>
    <row r="30" spans="1:9" x14ac:dyDescent="0.25">
      <c r="A30" s="1"/>
      <c r="B30" s="1"/>
      <c r="C30" s="1"/>
      <c r="D30" s="1"/>
      <c r="E30" s="1"/>
      <c r="F30" s="5">
        <f>Trenink!D30-Trenink!C30</f>
        <v>-1</v>
      </c>
      <c r="G30" s="12" t="str">
        <f>Trenink!B30</f>
        <v>kontrola</v>
      </c>
      <c r="H30" s="1"/>
      <c r="I30" s="1"/>
    </row>
    <row r="31" spans="1:9" x14ac:dyDescent="0.25">
      <c r="A31" s="1"/>
      <c r="B31" s="1"/>
      <c r="C31" s="1"/>
      <c r="D31" s="1"/>
      <c r="E31" s="1"/>
      <c r="F31" s="5">
        <f>Trenink!D31-Trenink!C31</f>
        <v>8</v>
      </c>
      <c r="G31" s="12" t="str">
        <f>Trenink!B31</f>
        <v>kontrola</v>
      </c>
      <c r="H31" s="1"/>
      <c r="I31" s="1"/>
    </row>
    <row r="32" spans="1:9" x14ac:dyDescent="0.25">
      <c r="A32" s="1"/>
      <c r="B32" s="1"/>
      <c r="C32" s="1"/>
      <c r="D32" s="1"/>
      <c r="E32" s="1"/>
      <c r="F32" s="5">
        <f>Trenink!D32-Trenink!C32</f>
        <v>0</v>
      </c>
      <c r="G32" s="12" t="str">
        <f>Trenink!B32</f>
        <v>kontrola</v>
      </c>
      <c r="H32" s="1"/>
      <c r="I32" s="1"/>
    </row>
    <row r="33" spans="1:9" x14ac:dyDescent="0.25">
      <c r="A33" s="1"/>
      <c r="B33" s="1"/>
      <c r="C33" s="1"/>
      <c r="D33" s="1"/>
      <c r="E33" s="1"/>
      <c r="F33" s="5">
        <f>Trenink!D33-Trenink!C33</f>
        <v>-2</v>
      </c>
      <c r="G33" s="12" t="str">
        <f>Trenink!B33</f>
        <v>kontrola</v>
      </c>
      <c r="H33" s="1"/>
      <c r="I33" s="1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06DE-106E-4BAF-BA9A-3EE0B00EF9F4}">
  <dimension ref="A1:I33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56.625" customWidth="1"/>
    <col min="2" max="2" width="24.625" customWidth="1"/>
    <col min="3" max="3" width="3.625" customWidth="1"/>
    <col min="4" max="4" width="58.625" customWidth="1"/>
  </cols>
  <sheetData>
    <row r="1" spans="1:9" ht="34" customHeight="1" x14ac:dyDescent="0.25">
      <c r="A1" s="4" t="s">
        <v>77</v>
      </c>
      <c r="B1" s="4" t="s">
        <v>1</v>
      </c>
      <c r="C1" s="1"/>
      <c r="D1" s="1"/>
      <c r="E1" s="1"/>
      <c r="F1" s="1"/>
      <c r="G1" s="1"/>
      <c r="H1" s="1"/>
      <c r="I1" s="1"/>
    </row>
    <row r="2" spans="1:9" ht="31.95" customHeight="1" x14ac:dyDescent="0.25">
      <c r="A2" s="2" t="s">
        <v>78</v>
      </c>
      <c r="B2" s="8">
        <v>3</v>
      </c>
      <c r="C2" s="1"/>
      <c r="D2" s="10" t="s">
        <v>90</v>
      </c>
      <c r="E2" s="1"/>
      <c r="F2" s="1"/>
      <c r="G2" s="1"/>
      <c r="H2" s="1"/>
      <c r="I2" s="1"/>
    </row>
    <row r="3" spans="1:9" ht="31.95" customHeight="1" x14ac:dyDescent="0.25">
      <c r="A3" s="2" t="s">
        <v>79</v>
      </c>
      <c r="B3" s="8">
        <v>49.2</v>
      </c>
      <c r="C3" s="1"/>
      <c r="D3" s="10" t="s">
        <v>91</v>
      </c>
      <c r="E3" s="1"/>
      <c r="F3" s="1"/>
      <c r="G3" s="1"/>
      <c r="H3" s="1"/>
      <c r="I3" s="1"/>
    </row>
    <row r="4" spans="1:9" x14ac:dyDescent="0.25">
      <c r="A4" s="2" t="s">
        <v>25</v>
      </c>
      <c r="B4" s="8">
        <v>10</v>
      </c>
      <c r="C4" s="1"/>
      <c r="D4" s="1"/>
      <c r="E4" s="1"/>
      <c r="F4" s="1"/>
      <c r="G4" s="1"/>
      <c r="H4" s="1"/>
      <c r="I4" s="1"/>
    </row>
    <row r="5" spans="1:9" x14ac:dyDescent="0.25">
      <c r="A5" s="2" t="s">
        <v>26</v>
      </c>
      <c r="B5" s="11">
        <v>200</v>
      </c>
      <c r="C5" s="1"/>
      <c r="D5" s="1"/>
      <c r="E5" s="1"/>
      <c r="F5" s="1"/>
      <c r="G5" s="1"/>
      <c r="H5" s="1"/>
      <c r="I5" s="1"/>
    </row>
    <row r="6" spans="1:9" x14ac:dyDescent="0.25">
      <c r="A6" s="2" t="s">
        <v>80</v>
      </c>
      <c r="B6" s="8">
        <v>50.1</v>
      </c>
      <c r="C6" s="1"/>
      <c r="D6" s="1"/>
      <c r="E6" s="1"/>
      <c r="F6" s="1"/>
      <c r="G6" s="1"/>
      <c r="H6" s="1"/>
      <c r="I6" s="1"/>
    </row>
    <row r="7" spans="1:9" x14ac:dyDescent="0.25">
      <c r="A7" s="2" t="s">
        <v>28</v>
      </c>
      <c r="B7" s="8">
        <v>10</v>
      </c>
      <c r="C7" s="1"/>
      <c r="D7" s="1"/>
      <c r="E7" s="1"/>
      <c r="F7" s="1"/>
      <c r="G7" s="1"/>
      <c r="H7" s="1"/>
      <c r="I7" s="1"/>
    </row>
    <row r="8" spans="1:9" x14ac:dyDescent="0.25">
      <c r="A8" s="2" t="s">
        <v>29</v>
      </c>
      <c r="B8" s="11">
        <v>200</v>
      </c>
      <c r="C8" s="1"/>
      <c r="D8" s="1"/>
      <c r="E8" s="1"/>
      <c r="F8" s="1"/>
      <c r="G8" s="1"/>
      <c r="H8" s="1"/>
      <c r="I8" s="1"/>
    </row>
    <row r="9" spans="1:9" ht="31.95" customHeight="1" x14ac:dyDescent="0.25">
      <c r="A9" s="2" t="s">
        <v>81</v>
      </c>
      <c r="B9" s="8">
        <v>0.05</v>
      </c>
      <c r="C9" s="1"/>
      <c r="D9" s="10" t="s">
        <v>20</v>
      </c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2" t="s">
        <v>30</v>
      </c>
      <c r="B11" s="9">
        <f>B3-B6</f>
        <v>-0.89999999999999858</v>
      </c>
      <c r="C11" s="1"/>
      <c r="D11" s="1"/>
      <c r="E11" s="1"/>
      <c r="F11" s="1"/>
      <c r="G11" s="1"/>
      <c r="H11" s="1"/>
      <c r="I11" s="1"/>
    </row>
    <row r="12" spans="1:9" x14ac:dyDescent="0.25">
      <c r="A12" s="2" t="s">
        <v>32</v>
      </c>
      <c r="B12" s="6">
        <f>SQRT(((B5-1)*B4^2+(B8-1)*B7^2)/(B5+B8-2))</f>
        <v>10</v>
      </c>
      <c r="C12" s="1"/>
      <c r="D12" s="1"/>
      <c r="E12" s="1"/>
      <c r="F12" s="1"/>
      <c r="G12" s="1"/>
      <c r="H12" s="1"/>
      <c r="I12" s="1"/>
    </row>
    <row r="13" spans="1:9" x14ac:dyDescent="0.25">
      <c r="A13" s="2" t="s">
        <v>33</v>
      </c>
      <c r="B13" s="7">
        <f>B12*SQRT(1/B5+1/B8)</f>
        <v>1</v>
      </c>
      <c r="C13" s="1"/>
      <c r="D13" s="1"/>
      <c r="E13" s="1"/>
      <c r="F13" s="1"/>
      <c r="G13" s="1"/>
      <c r="H13" s="1"/>
      <c r="I13" s="1"/>
    </row>
    <row r="14" spans="1:9" x14ac:dyDescent="0.25">
      <c r="A14" s="2" t="s">
        <v>11</v>
      </c>
      <c r="B14" s="5">
        <f>B5+B8-2</f>
        <v>398</v>
      </c>
      <c r="C14" s="1"/>
      <c r="D14" s="1"/>
      <c r="E14" s="1"/>
      <c r="F14" s="1"/>
      <c r="G14" s="1"/>
      <c r="H14" s="1"/>
      <c r="I14" s="1"/>
    </row>
    <row r="15" spans="1:9" ht="31.95" customHeight="1" x14ac:dyDescent="0.25">
      <c r="A15" s="1" t="str">
        <f>"Test rozdílu: dolní mez "&amp;(100*(1-B9))&amp;"% intervalu"</f>
        <v>Test rozdílu: dolní mez 95% intervalu</v>
      </c>
      <c r="B15" s="9">
        <f>B11-_xlfn.T.INV(1-B9/2,B14)*B13</f>
        <v>-2.8659423239762556</v>
      </c>
      <c r="C15" s="1"/>
      <c r="D15" s="13" t="str">
        <f>(100*(1-B9))&amp;"% interval slouží testu rozdílu."</f>
        <v>95% interval slouží testu rozdílu.</v>
      </c>
      <c r="E15" s="1"/>
      <c r="F15" s="1"/>
      <c r="G15" s="1"/>
      <c r="H15" s="1"/>
      <c r="I15" s="1"/>
    </row>
    <row r="16" spans="1:9" x14ac:dyDescent="0.25">
      <c r="A16" s="1" t="str">
        <f>"Test rozdílu: horní mez "&amp;(100*(1-B9))&amp;"% intervalu"</f>
        <v>Test rozdílu: horní mez 95% intervalu</v>
      </c>
      <c r="B16" s="9">
        <f>B11+_xlfn.T.INV(1-B9/2,B14)*B13</f>
        <v>1.0659423239762584</v>
      </c>
      <c r="C16" s="1"/>
      <c r="D16" s="1"/>
      <c r="E16" s="1"/>
      <c r="F16" s="1"/>
      <c r="G16" s="1"/>
      <c r="H16" s="1"/>
      <c r="I16" s="1"/>
    </row>
    <row r="17" spans="1:9" x14ac:dyDescent="0.25">
      <c r="A17" s="2" t="s">
        <v>82</v>
      </c>
      <c r="B17" s="7">
        <f>_xlfn.T.DIST.2T(ABS(B11/B13),B14)</f>
        <v>0.3686644727871109</v>
      </c>
      <c r="C17" s="1"/>
      <c r="D17" s="1"/>
      <c r="E17" s="1"/>
      <c r="F17" s="1"/>
      <c r="G17" s="1"/>
      <c r="H17" s="1"/>
      <c r="I17" s="1"/>
    </row>
    <row r="18" spans="1:9" x14ac:dyDescent="0.25">
      <c r="A18" s="2" t="s">
        <v>83</v>
      </c>
      <c r="B18" s="12" t="str">
        <f>IF(B17&lt;=B9,"zamítáme nulovou hypotézu","nulovou hypotézu nezamítáme")</f>
        <v>nulovou hypotézu nezamítáme</v>
      </c>
      <c r="C18" s="1"/>
      <c r="D18" s="1"/>
      <c r="E18" s="1"/>
      <c r="F18" s="1"/>
      <c r="G18" s="1"/>
      <c r="H18" s="1"/>
      <c r="I18" s="1"/>
    </row>
    <row r="19" spans="1:9" ht="31.95" customHeight="1" x14ac:dyDescent="0.25">
      <c r="A19" s="1" t="str">
        <f>"Test ekvivalence: dolní mez "&amp;(100*(1-2*B9))&amp;"% intervalu"</f>
        <v>Test ekvivalence: dolní mez 90% intervalu</v>
      </c>
      <c r="B19" s="9">
        <f>B11-_xlfn.T.INV(1-B9,B14)*B13</f>
        <v>-2.5486911739598184</v>
      </c>
      <c r="C19" s="1"/>
      <c r="D19" s="13" t="str">
        <f>(100*(1-2*B9))&amp;"% interval slouží testu ekvivalence:"</f>
        <v>90% interval slouží testu ekvivalence:</v>
      </c>
      <c r="E19" s="1"/>
      <c r="F19" s="1"/>
      <c r="G19" s="1"/>
      <c r="H19" s="1"/>
      <c r="I19" s="1"/>
    </row>
    <row r="20" spans="1:9" ht="31.95" customHeight="1" x14ac:dyDescent="0.25">
      <c r="A20" s="1" t="str">
        <f>"Test ekvivalence: horní mez "&amp;(100*(1-2*B9))&amp;"% intervalu"</f>
        <v>Test ekvivalence: horní mez 90% intervalu</v>
      </c>
      <c r="B20" s="9">
        <f>B11+_xlfn.T.INV(1-B9,B14)*B13</f>
        <v>0.74869117395982121</v>
      </c>
      <c r="C20" s="1"/>
      <c r="D20" s="10" t="s">
        <v>92</v>
      </c>
      <c r="E20" s="1"/>
      <c r="F20" s="1"/>
      <c r="G20" s="1"/>
      <c r="H20" s="1"/>
      <c r="I20" s="1"/>
    </row>
    <row r="21" spans="1:9" ht="31.95" customHeight="1" x14ac:dyDescent="0.25">
      <c r="A21" s="2" t="s">
        <v>84</v>
      </c>
      <c r="B21" s="12" t="str">
        <f>IF(AND(B19&gt;=-B2,B20&lt;=B2),"ekvivalence doložena","ekvivalence nedoložena")</f>
        <v>ekvivalence doložena</v>
      </c>
      <c r="C21" s="1"/>
      <c r="D21" s="10" t="s">
        <v>93</v>
      </c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2" t="s">
        <v>85</v>
      </c>
      <c r="B23" s="6">
        <f>(B11+B2)/B13</f>
        <v>2.1000000000000014</v>
      </c>
      <c r="C23" s="1"/>
      <c r="D23" s="1"/>
      <c r="E23" s="1"/>
      <c r="F23" s="1"/>
      <c r="G23" s="1"/>
      <c r="H23" s="1"/>
      <c r="I23" s="1"/>
    </row>
    <row r="24" spans="1:9" x14ac:dyDescent="0.25">
      <c r="A24" s="2" t="s">
        <v>86</v>
      </c>
      <c r="B24" s="7">
        <f>1-_xlfn.T.DIST(B23,B14,TRUE)</f>
        <v>1.8178880196252578E-2</v>
      </c>
      <c r="C24" s="1"/>
      <c r="D24" s="1"/>
      <c r="E24" s="1"/>
      <c r="F24" s="1"/>
      <c r="G24" s="1"/>
      <c r="H24" s="1"/>
      <c r="I24" s="1"/>
    </row>
    <row r="25" spans="1:9" x14ac:dyDescent="0.25">
      <c r="A25" s="2" t="s">
        <v>87</v>
      </c>
      <c r="B25" s="6">
        <f>(B11-B2)/B13</f>
        <v>-3.8999999999999986</v>
      </c>
      <c r="C25" s="1"/>
      <c r="D25" s="1"/>
      <c r="E25" s="1"/>
      <c r="F25" s="1"/>
      <c r="G25" s="1"/>
      <c r="H25" s="1"/>
      <c r="I25" s="1"/>
    </row>
    <row r="26" spans="1:9" x14ac:dyDescent="0.25">
      <c r="A26" s="2" t="s">
        <v>88</v>
      </c>
      <c r="B26" s="7">
        <f>_xlfn.T.DIST(B25,B14,TRUE)</f>
        <v>5.6445110786097478E-5</v>
      </c>
      <c r="C26" s="1"/>
      <c r="D26" s="1"/>
      <c r="E26" s="1"/>
      <c r="F26" s="1"/>
      <c r="G26" s="1"/>
      <c r="H26" s="1"/>
      <c r="I26" s="1"/>
    </row>
    <row r="27" spans="1:9" ht="31.95" customHeight="1" x14ac:dyDescent="0.25">
      <c r="A27" s="2" t="s">
        <v>89</v>
      </c>
      <c r="B27" s="7">
        <f>MAX(B24,B26)</f>
        <v>1.8178880196252578E-2</v>
      </c>
      <c r="C27" s="1"/>
      <c r="D27" s="10" t="s">
        <v>94</v>
      </c>
      <c r="E27" s="1"/>
      <c r="F27" s="1"/>
      <c r="G27" s="1"/>
      <c r="H27" s="1"/>
      <c r="I27" s="1"/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2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76A9-5829-498D-8DFB-E71675B53019}">
  <dimension ref="A1:E14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4" t="s">
        <v>2</v>
      </c>
      <c r="B1" s="4" t="s">
        <v>95</v>
      </c>
      <c r="C1" s="4" t="s">
        <v>96</v>
      </c>
      <c r="E1" s="15" t="s">
        <v>97</v>
      </c>
    </row>
    <row r="2" spans="1:5" ht="25" customHeight="1" x14ac:dyDescent="0.25">
      <c r="A2" s="14">
        <v>1</v>
      </c>
      <c r="B2" s="14">
        <v>58</v>
      </c>
      <c r="C2" s="14">
        <v>53</v>
      </c>
      <c r="E2" s="17" t="s">
        <v>98</v>
      </c>
    </row>
    <row r="3" spans="1:5" ht="25" customHeight="1" x14ac:dyDescent="0.25">
      <c r="A3" s="14">
        <v>2</v>
      </c>
      <c r="B3" s="14">
        <v>44</v>
      </c>
      <c r="C3" s="14">
        <v>42</v>
      </c>
      <c r="E3" s="16"/>
    </row>
    <row r="4" spans="1:5" ht="25" customHeight="1" x14ac:dyDescent="0.25">
      <c r="A4" s="14">
        <v>3</v>
      </c>
      <c r="B4" s="14">
        <v>51</v>
      </c>
      <c r="C4" s="14">
        <v>45</v>
      </c>
      <c r="E4" s="17" t="s">
        <v>99</v>
      </c>
    </row>
    <row r="5" spans="1:5" ht="25" customHeight="1" x14ac:dyDescent="0.25">
      <c r="A5" s="14">
        <v>4</v>
      </c>
      <c r="B5" s="14">
        <v>39</v>
      </c>
      <c r="C5" s="14">
        <v>38</v>
      </c>
      <c r="E5" s="16"/>
    </row>
    <row r="6" spans="1:5" ht="25" customHeight="1" x14ac:dyDescent="0.25">
      <c r="A6" s="14">
        <v>5</v>
      </c>
      <c r="B6" s="14">
        <v>62</v>
      </c>
      <c r="C6" s="14">
        <v>55</v>
      </c>
      <c r="E6" s="16"/>
    </row>
    <row r="7" spans="1:5" ht="25" customHeight="1" x14ac:dyDescent="0.25">
      <c r="A7" s="14">
        <v>6</v>
      </c>
      <c r="B7" s="14">
        <v>47</v>
      </c>
      <c r="C7" s="14">
        <v>44</v>
      </c>
      <c r="E7" s="16"/>
    </row>
    <row r="8" spans="1:5" ht="25" customHeight="1" x14ac:dyDescent="0.25">
      <c r="A8" s="14">
        <v>7</v>
      </c>
      <c r="B8" s="14">
        <v>55</v>
      </c>
      <c r="C8" s="14">
        <v>51</v>
      </c>
    </row>
    <row r="9" spans="1:5" ht="25" customHeight="1" x14ac:dyDescent="0.25">
      <c r="A9" s="14">
        <v>8</v>
      </c>
      <c r="B9" s="14">
        <v>42</v>
      </c>
      <c r="C9" s="14">
        <v>43</v>
      </c>
    </row>
    <row r="10" spans="1:5" ht="25" customHeight="1" x14ac:dyDescent="0.25">
      <c r="A10" s="14">
        <v>9</v>
      </c>
      <c r="B10" s="14">
        <v>53</v>
      </c>
      <c r="C10" s="14"/>
    </row>
    <row r="11" spans="1:5" ht="25" customHeight="1" x14ac:dyDescent="0.25">
      <c r="A11" s="14">
        <v>10</v>
      </c>
      <c r="B11" s="14">
        <v>49</v>
      </c>
      <c r="C11" s="14">
        <v>44</v>
      </c>
    </row>
    <row r="12" spans="1:5" ht="25" customHeight="1" x14ac:dyDescent="0.25">
      <c r="A12" s="14">
        <v>11</v>
      </c>
      <c r="B12" s="14">
        <v>60</v>
      </c>
      <c r="C12" s="14">
        <v>58</v>
      </c>
    </row>
    <row r="13" spans="1:5" ht="25" customHeight="1" x14ac:dyDescent="0.25">
      <c r="A13" s="14">
        <v>12</v>
      </c>
      <c r="B13" s="14">
        <v>45</v>
      </c>
      <c r="C13" s="14">
        <v>39</v>
      </c>
    </row>
    <row r="14" spans="1:5" ht="25" customHeight="1" x14ac:dyDescent="0.25">
      <c r="A14" s="14">
        <v>13</v>
      </c>
      <c r="B14" s="14">
        <v>52</v>
      </c>
      <c r="C14" s="14">
        <v>50</v>
      </c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608F-F74A-41A2-8E90-58A21A091F67}">
  <dimension ref="A1:D31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4" t="s">
        <v>100</v>
      </c>
      <c r="B1" s="4" t="s">
        <v>101</v>
      </c>
      <c r="D1" s="15" t="s">
        <v>97</v>
      </c>
    </row>
    <row r="2" spans="1:4" ht="25" customHeight="1" x14ac:dyDescent="0.25">
      <c r="A2" s="14">
        <v>67</v>
      </c>
      <c r="B2" s="14">
        <v>52</v>
      </c>
      <c r="D2" s="17" t="s">
        <v>102</v>
      </c>
    </row>
    <row r="3" spans="1:4" ht="25" customHeight="1" x14ac:dyDescent="0.25">
      <c r="A3" s="14">
        <v>55</v>
      </c>
      <c r="B3" s="14">
        <v>55</v>
      </c>
      <c r="D3" s="16"/>
    </row>
    <row r="4" spans="1:4" ht="25" customHeight="1" x14ac:dyDescent="0.25">
      <c r="A4" s="14">
        <v>54</v>
      </c>
      <c r="B4" s="14">
        <v>23</v>
      </c>
      <c r="D4" s="17" t="s">
        <v>103</v>
      </c>
    </row>
    <row r="5" spans="1:4" ht="25" customHeight="1" x14ac:dyDescent="0.25">
      <c r="A5" s="14">
        <v>46</v>
      </c>
      <c r="B5" s="14">
        <v>59</v>
      </c>
      <c r="D5" s="16"/>
    </row>
    <row r="6" spans="1:4" ht="25" customHeight="1" x14ac:dyDescent="0.25">
      <c r="A6" s="14">
        <v>43</v>
      </c>
      <c r="B6" s="14">
        <v>36</v>
      </c>
      <c r="D6" s="16"/>
    </row>
    <row r="7" spans="1:4" ht="25" customHeight="1" x14ac:dyDescent="0.25">
      <c r="A7" s="14">
        <v>41</v>
      </c>
      <c r="B7" s="14">
        <v>51</v>
      </c>
      <c r="D7" s="16"/>
    </row>
    <row r="8" spans="1:4" ht="25" customHeight="1" x14ac:dyDescent="0.25">
      <c r="A8" s="14">
        <v>57</v>
      </c>
      <c r="B8" s="14">
        <v>24</v>
      </c>
    </row>
    <row r="9" spans="1:4" ht="25" customHeight="1" x14ac:dyDescent="0.25">
      <c r="A9" s="14">
        <v>41</v>
      </c>
      <c r="B9" s="14">
        <v>56</v>
      </c>
    </row>
    <row r="10" spans="1:4" ht="25" customHeight="1" x14ac:dyDescent="0.25">
      <c r="A10" s="14">
        <v>54</v>
      </c>
      <c r="B10" s="14">
        <v>28</v>
      </c>
    </row>
    <row r="11" spans="1:4" ht="25" customHeight="1" x14ac:dyDescent="0.25">
      <c r="A11" s="14">
        <v>44</v>
      </c>
      <c r="B11" s="14">
        <v>34</v>
      </c>
    </row>
    <row r="12" spans="1:4" ht="25" customHeight="1" x14ac:dyDescent="0.25">
      <c r="A12" s="14">
        <v>40</v>
      </c>
      <c r="B12" s="14">
        <v>56</v>
      </c>
    </row>
    <row r="13" spans="1:4" ht="25" customHeight="1" x14ac:dyDescent="0.25">
      <c r="A13" s="14">
        <v>47</v>
      </c>
      <c r="B13" s="14">
        <v>30</v>
      </c>
    </row>
    <row r="14" spans="1:4" ht="25" customHeight="1" x14ac:dyDescent="0.25">
      <c r="A14" s="14">
        <v>41</v>
      </c>
      <c r="B14" s="14"/>
    </row>
    <row r="15" spans="1:4" ht="25" customHeight="1" x14ac:dyDescent="0.25">
      <c r="A15" s="14">
        <v>51</v>
      </c>
      <c r="B15" s="14"/>
    </row>
    <row r="16" spans="1:4" ht="25" customHeight="1" x14ac:dyDescent="0.25">
      <c r="A16" s="14">
        <v>45</v>
      </c>
      <c r="B16" s="14"/>
    </row>
    <row r="17" spans="1:2" ht="25" customHeight="1" x14ac:dyDescent="0.25">
      <c r="A17" s="14">
        <v>47</v>
      </c>
      <c r="B17" s="14"/>
    </row>
    <row r="18" spans="1:2" ht="25" customHeight="1" x14ac:dyDescent="0.25">
      <c r="A18" s="14">
        <v>62</v>
      </c>
      <c r="B18" s="14"/>
    </row>
    <row r="19" spans="1:2" ht="25" customHeight="1" x14ac:dyDescent="0.25">
      <c r="A19" s="14">
        <v>44</v>
      </c>
      <c r="B19" s="14"/>
    </row>
    <row r="20" spans="1:2" ht="25" customHeight="1" x14ac:dyDescent="0.25">
      <c r="A20" s="14">
        <v>49</v>
      </c>
      <c r="B20" s="14"/>
    </row>
    <row r="21" spans="1:2" ht="25" customHeight="1" x14ac:dyDescent="0.25">
      <c r="A21" s="14">
        <v>54</v>
      </c>
      <c r="B21" s="14"/>
    </row>
    <row r="22" spans="1:2" ht="25" customHeight="1" x14ac:dyDescent="0.25">
      <c r="A22" s="14">
        <v>69</v>
      </c>
      <c r="B22" s="14"/>
    </row>
    <row r="23" spans="1:2" ht="25" customHeight="1" x14ac:dyDescent="0.25">
      <c r="A23" s="14">
        <v>36</v>
      </c>
      <c r="B23" s="14"/>
    </row>
    <row r="24" spans="1:2" ht="25" customHeight="1" x14ac:dyDescent="0.25">
      <c r="A24" s="14">
        <v>56</v>
      </c>
      <c r="B24" s="14"/>
    </row>
    <row r="25" spans="1:2" ht="25" customHeight="1" x14ac:dyDescent="0.25">
      <c r="A25" s="14">
        <v>49</v>
      </c>
      <c r="B25" s="14"/>
    </row>
    <row r="26" spans="1:2" ht="25" customHeight="1" x14ac:dyDescent="0.25">
      <c r="A26" s="14">
        <v>51</v>
      </c>
      <c r="B26" s="14"/>
    </row>
    <row r="27" spans="1:2" ht="25" customHeight="1" x14ac:dyDescent="0.25">
      <c r="A27" s="14">
        <v>53</v>
      </c>
      <c r="B27" s="14"/>
    </row>
    <row r="28" spans="1:2" ht="25" customHeight="1" x14ac:dyDescent="0.25">
      <c r="A28" s="14">
        <v>58</v>
      </c>
      <c r="B28" s="14"/>
    </row>
    <row r="29" spans="1:2" ht="25" customHeight="1" x14ac:dyDescent="0.25">
      <c r="A29" s="14">
        <v>53</v>
      </c>
      <c r="B29" s="14"/>
    </row>
    <row r="30" spans="1:2" ht="25" customHeight="1" x14ac:dyDescent="0.25">
      <c r="A30" s="14">
        <v>52</v>
      </c>
      <c r="B30" s="14"/>
    </row>
    <row r="31" spans="1:2" ht="25" customHeight="1" x14ac:dyDescent="0.25">
      <c r="A31" s="14">
        <v>41</v>
      </c>
      <c r="B31" s="14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2A4F-77EE-4C31-8AD6-682345D3D837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4.625" customWidth="1"/>
    <col min="2" max="3" width="22.625" customWidth="1"/>
    <col min="5" max="5" width="60.625" customWidth="1"/>
  </cols>
  <sheetData>
    <row r="1" spans="1:5" ht="46.05" customHeight="1" x14ac:dyDescent="0.25">
      <c r="A1" s="4" t="s">
        <v>104</v>
      </c>
      <c r="B1" s="4" t="s">
        <v>105</v>
      </c>
      <c r="C1" s="4" t="s">
        <v>106</v>
      </c>
      <c r="E1" s="15" t="s">
        <v>97</v>
      </c>
    </row>
    <row r="2" spans="1:5" ht="25" customHeight="1" x14ac:dyDescent="0.25">
      <c r="A2" s="14" t="s">
        <v>107</v>
      </c>
      <c r="B2" s="14">
        <v>39.03</v>
      </c>
      <c r="C2" s="14">
        <v>32.15</v>
      </c>
      <c r="E2" s="17" t="s">
        <v>110</v>
      </c>
    </row>
    <row r="3" spans="1:5" ht="25" customHeight="1" x14ac:dyDescent="0.25">
      <c r="A3" s="14" t="s">
        <v>108</v>
      </c>
      <c r="B3" s="14">
        <v>14.6</v>
      </c>
      <c r="C3" s="14">
        <v>14.6</v>
      </c>
      <c r="E3" s="16"/>
    </row>
    <row r="4" spans="1:5" ht="25" customHeight="1" x14ac:dyDescent="0.25">
      <c r="A4" s="14" t="s">
        <v>109</v>
      </c>
      <c r="B4" s="14">
        <v>100</v>
      </c>
      <c r="C4" s="14">
        <v>100</v>
      </c>
      <c r="E4" s="17" t="s">
        <v>111</v>
      </c>
    </row>
    <row r="5" spans="1:5" x14ac:dyDescent="0.25">
      <c r="E5" s="16"/>
    </row>
    <row r="6" spans="1:5" x14ac:dyDescent="0.25">
      <c r="E6" s="16"/>
    </row>
    <row r="7" spans="1:5" x14ac:dyDescent="0.25">
      <c r="E7" s="16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32FB-BD3A-48F1-88EA-8BB50946D6D9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8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104</v>
      </c>
      <c r="B1" s="4" t="s">
        <v>1</v>
      </c>
      <c r="D1" s="15" t="s">
        <v>97</v>
      </c>
    </row>
    <row r="2" spans="1:4" ht="25" customHeight="1" x14ac:dyDescent="0.25">
      <c r="A2" s="14" t="s">
        <v>112</v>
      </c>
      <c r="B2" s="14">
        <v>17</v>
      </c>
      <c r="D2" s="17" t="s">
        <v>118</v>
      </c>
    </row>
    <row r="3" spans="1:4" ht="25" customHeight="1" x14ac:dyDescent="0.25">
      <c r="A3" s="14" t="s">
        <v>113</v>
      </c>
      <c r="B3" s="14">
        <v>37.752000000000002</v>
      </c>
      <c r="D3" s="16"/>
    </row>
    <row r="4" spans="1:4" ht="25" customHeight="1" x14ac:dyDescent="0.25">
      <c r="A4" s="14" t="s">
        <v>114</v>
      </c>
      <c r="B4" s="14">
        <v>41.046999999999997</v>
      </c>
      <c r="D4" s="17" t="s">
        <v>119</v>
      </c>
    </row>
    <row r="5" spans="1:4" ht="25" customHeight="1" x14ac:dyDescent="0.25">
      <c r="A5" s="14" t="s">
        <v>115</v>
      </c>
      <c r="B5" s="14">
        <v>3.2949999999999999</v>
      </c>
      <c r="D5" s="16"/>
    </row>
    <row r="6" spans="1:4" ht="25" customHeight="1" x14ac:dyDescent="0.25">
      <c r="A6" s="14" t="s">
        <v>116</v>
      </c>
      <c r="B6" s="14">
        <v>3.2469999999999999</v>
      </c>
      <c r="D6" s="16"/>
    </row>
    <row r="7" spans="1:4" ht="25" customHeight="1" x14ac:dyDescent="0.25">
      <c r="A7" s="14" t="s">
        <v>117</v>
      </c>
      <c r="B7" s="14">
        <v>2.2759999999999998</v>
      </c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E816-F557-45AA-9D78-8483ADECC528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7.625" customWidth="1"/>
    <col min="2" max="3" width="22.625" customWidth="1"/>
    <col min="5" max="5" width="60.625" customWidth="1"/>
  </cols>
  <sheetData>
    <row r="1" spans="1:5" ht="46.05" customHeight="1" x14ac:dyDescent="0.25">
      <c r="A1" s="4" t="s">
        <v>104</v>
      </c>
      <c r="B1" s="4" t="s">
        <v>120</v>
      </c>
      <c r="C1" s="4" t="s">
        <v>121</v>
      </c>
      <c r="E1" s="15" t="s">
        <v>97</v>
      </c>
    </row>
    <row r="2" spans="1:5" ht="25" customHeight="1" x14ac:dyDescent="0.25">
      <c r="A2" s="14" t="s">
        <v>122</v>
      </c>
      <c r="B2" s="14">
        <v>46</v>
      </c>
      <c r="C2" s="14">
        <v>52</v>
      </c>
      <c r="E2" s="17" t="s">
        <v>125</v>
      </c>
    </row>
    <row r="3" spans="1:5" ht="25" customHeight="1" x14ac:dyDescent="0.25">
      <c r="A3" s="14" t="s">
        <v>123</v>
      </c>
      <c r="B3" s="14">
        <v>10</v>
      </c>
      <c r="C3" s="14">
        <v>10</v>
      </c>
      <c r="E3" s="16"/>
    </row>
    <row r="4" spans="1:5" ht="25" customHeight="1" x14ac:dyDescent="0.25">
      <c r="A4" s="14" t="s">
        <v>124</v>
      </c>
      <c r="B4" s="14">
        <v>25</v>
      </c>
      <c r="C4" s="14">
        <v>25</v>
      </c>
      <c r="E4" s="17" t="s">
        <v>126</v>
      </c>
    </row>
    <row r="5" spans="1:5" x14ac:dyDescent="0.25">
      <c r="E5" s="16"/>
    </row>
    <row r="6" spans="1:5" x14ac:dyDescent="0.25">
      <c r="E6" s="16"/>
    </row>
    <row r="7" spans="1:5" x14ac:dyDescent="0.25">
      <c r="E7" s="16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91AE-4CA0-46AA-8BA1-F6F32ECBA6E2}">
  <dimension ref="A1:F33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4" width="22.625" customWidth="1"/>
    <col min="6" max="6" width="60.625" customWidth="1"/>
  </cols>
  <sheetData>
    <row r="1" spans="1:6" ht="46.05" customHeight="1" x14ac:dyDescent="0.25">
      <c r="A1" s="4" t="s">
        <v>2</v>
      </c>
      <c r="B1" s="4" t="s">
        <v>56</v>
      </c>
      <c r="C1" s="4" t="s">
        <v>127</v>
      </c>
      <c r="D1" s="4" t="s">
        <v>128</v>
      </c>
      <c r="F1" s="15" t="s">
        <v>97</v>
      </c>
    </row>
    <row r="2" spans="1:6" ht="25" customHeight="1" x14ac:dyDescent="0.25">
      <c r="A2" s="14">
        <v>1</v>
      </c>
      <c r="B2" s="14" t="s">
        <v>129</v>
      </c>
      <c r="C2" s="14">
        <v>46</v>
      </c>
      <c r="D2" s="14">
        <v>58</v>
      </c>
      <c r="F2" s="17" t="s">
        <v>131</v>
      </c>
    </row>
    <row r="3" spans="1:6" ht="25" customHeight="1" x14ac:dyDescent="0.25">
      <c r="A3" s="14">
        <v>2</v>
      </c>
      <c r="B3" s="14" t="s">
        <v>129</v>
      </c>
      <c r="C3" s="14">
        <v>52</v>
      </c>
      <c r="D3" s="14">
        <v>49</v>
      </c>
      <c r="F3" s="16"/>
    </row>
    <row r="4" spans="1:6" ht="25" customHeight="1" x14ac:dyDescent="0.25">
      <c r="A4" s="14">
        <v>3</v>
      </c>
      <c r="B4" s="14" t="s">
        <v>129</v>
      </c>
      <c r="C4" s="14">
        <v>41</v>
      </c>
      <c r="D4" s="14">
        <v>49</v>
      </c>
      <c r="F4" s="17" t="s">
        <v>132</v>
      </c>
    </row>
    <row r="5" spans="1:6" ht="25" customHeight="1" x14ac:dyDescent="0.25">
      <c r="A5" s="14">
        <v>4</v>
      </c>
      <c r="B5" s="14" t="s">
        <v>129</v>
      </c>
      <c r="C5" s="14">
        <v>55</v>
      </c>
      <c r="D5" s="14">
        <v>51</v>
      </c>
      <c r="F5" s="16"/>
    </row>
    <row r="6" spans="1:6" ht="25" customHeight="1" x14ac:dyDescent="0.25">
      <c r="A6" s="14">
        <v>5</v>
      </c>
      <c r="B6" s="14" t="s">
        <v>129</v>
      </c>
      <c r="C6" s="14">
        <v>48</v>
      </c>
      <c r="D6" s="14">
        <v>62</v>
      </c>
      <c r="F6" s="16"/>
    </row>
    <row r="7" spans="1:6" ht="25" customHeight="1" x14ac:dyDescent="0.25">
      <c r="A7" s="14">
        <v>6</v>
      </c>
      <c r="B7" s="14" t="s">
        <v>129</v>
      </c>
      <c r="C7" s="14">
        <v>44</v>
      </c>
      <c r="D7" s="14">
        <v>49</v>
      </c>
      <c r="F7" s="16"/>
    </row>
    <row r="8" spans="1:6" ht="25" customHeight="1" x14ac:dyDescent="0.25">
      <c r="A8" s="14">
        <v>7</v>
      </c>
      <c r="B8" s="14" t="s">
        <v>129</v>
      </c>
      <c r="C8" s="14">
        <v>50</v>
      </c>
      <c r="D8" s="14">
        <v>59</v>
      </c>
    </row>
    <row r="9" spans="1:6" ht="25" customHeight="1" x14ac:dyDescent="0.25">
      <c r="A9" s="14">
        <v>8</v>
      </c>
      <c r="B9" s="14" t="s">
        <v>129</v>
      </c>
      <c r="C9" s="14">
        <v>57</v>
      </c>
      <c r="D9" s="14">
        <v>55</v>
      </c>
    </row>
    <row r="10" spans="1:6" ht="25" customHeight="1" x14ac:dyDescent="0.25">
      <c r="A10" s="14">
        <v>9</v>
      </c>
      <c r="B10" s="14" t="s">
        <v>129</v>
      </c>
      <c r="C10" s="14">
        <v>43</v>
      </c>
      <c r="D10" s="14">
        <v>46</v>
      </c>
    </row>
    <row r="11" spans="1:6" ht="25" customHeight="1" x14ac:dyDescent="0.25">
      <c r="A11" s="14">
        <v>10</v>
      </c>
      <c r="B11" s="14" t="s">
        <v>129</v>
      </c>
      <c r="C11" s="14">
        <v>49</v>
      </c>
      <c r="D11" s="14">
        <v>59</v>
      </c>
    </row>
    <row r="12" spans="1:6" ht="25" customHeight="1" x14ac:dyDescent="0.25">
      <c r="A12" s="14">
        <v>11</v>
      </c>
      <c r="B12" s="14" t="s">
        <v>129</v>
      </c>
      <c r="C12" s="14">
        <v>53</v>
      </c>
      <c r="D12" s="14">
        <v>47</v>
      </c>
    </row>
    <row r="13" spans="1:6" ht="25" customHeight="1" x14ac:dyDescent="0.25">
      <c r="A13" s="14">
        <v>12</v>
      </c>
      <c r="B13" s="14" t="s">
        <v>129</v>
      </c>
      <c r="C13" s="14">
        <v>47</v>
      </c>
      <c r="D13" s="14">
        <v>54</v>
      </c>
    </row>
    <row r="14" spans="1:6" ht="25" customHeight="1" x14ac:dyDescent="0.25">
      <c r="A14" s="14">
        <v>13</v>
      </c>
      <c r="B14" s="14" t="s">
        <v>129</v>
      </c>
      <c r="C14" s="14">
        <v>45</v>
      </c>
      <c r="D14" s="14">
        <v>49</v>
      </c>
    </row>
    <row r="15" spans="1:6" ht="25" customHeight="1" x14ac:dyDescent="0.25">
      <c r="A15" s="14">
        <v>14</v>
      </c>
      <c r="B15" s="14" t="s">
        <v>129</v>
      </c>
      <c r="C15" s="14">
        <v>51</v>
      </c>
      <c r="D15" s="14">
        <v>64</v>
      </c>
    </row>
    <row r="16" spans="1:6" ht="25" customHeight="1" x14ac:dyDescent="0.25">
      <c r="A16" s="14">
        <v>15</v>
      </c>
      <c r="B16" s="14" t="s">
        <v>129</v>
      </c>
      <c r="C16" s="14">
        <v>58</v>
      </c>
      <c r="D16" s="14">
        <v>58</v>
      </c>
    </row>
    <row r="17" spans="1:4" ht="25" customHeight="1" x14ac:dyDescent="0.25">
      <c r="A17" s="14">
        <v>16</v>
      </c>
      <c r="B17" s="14" t="s">
        <v>129</v>
      </c>
      <c r="C17" s="14">
        <v>42</v>
      </c>
      <c r="D17" s="14">
        <v>36</v>
      </c>
    </row>
    <row r="18" spans="1:4" ht="25" customHeight="1" x14ac:dyDescent="0.25">
      <c r="A18" s="14">
        <v>17</v>
      </c>
      <c r="B18" s="14" t="s">
        <v>130</v>
      </c>
      <c r="C18" s="14">
        <v>47</v>
      </c>
      <c r="D18" s="14">
        <v>53</v>
      </c>
    </row>
    <row r="19" spans="1:4" ht="25" customHeight="1" x14ac:dyDescent="0.25">
      <c r="A19" s="14">
        <v>18</v>
      </c>
      <c r="B19" s="14" t="s">
        <v>130</v>
      </c>
      <c r="C19" s="14">
        <v>50</v>
      </c>
      <c r="D19" s="14">
        <v>43</v>
      </c>
    </row>
    <row r="20" spans="1:4" ht="25" customHeight="1" x14ac:dyDescent="0.25">
      <c r="A20" s="14">
        <v>19</v>
      </c>
      <c r="B20" s="14" t="s">
        <v>130</v>
      </c>
      <c r="C20" s="14">
        <v>44</v>
      </c>
      <c r="D20" s="14">
        <v>53</v>
      </c>
    </row>
    <row r="21" spans="1:4" ht="25" customHeight="1" x14ac:dyDescent="0.25">
      <c r="A21" s="14">
        <v>20</v>
      </c>
      <c r="B21" s="14" t="s">
        <v>130</v>
      </c>
      <c r="C21" s="14">
        <v>53</v>
      </c>
      <c r="D21" s="14">
        <v>50</v>
      </c>
    </row>
    <row r="22" spans="1:4" ht="25" customHeight="1" x14ac:dyDescent="0.25">
      <c r="A22" s="14">
        <v>21</v>
      </c>
      <c r="B22" s="14" t="s">
        <v>130</v>
      </c>
      <c r="C22" s="14">
        <v>49</v>
      </c>
      <c r="D22" s="14">
        <v>59</v>
      </c>
    </row>
    <row r="23" spans="1:4" ht="25" customHeight="1" x14ac:dyDescent="0.25">
      <c r="A23" s="14">
        <v>22</v>
      </c>
      <c r="B23" s="14" t="s">
        <v>130</v>
      </c>
      <c r="C23" s="14">
        <v>41</v>
      </c>
      <c r="D23" s="14">
        <v>42</v>
      </c>
    </row>
    <row r="24" spans="1:4" ht="25" customHeight="1" x14ac:dyDescent="0.25">
      <c r="A24" s="14">
        <v>23</v>
      </c>
      <c r="B24" s="14" t="s">
        <v>130</v>
      </c>
      <c r="C24" s="14">
        <v>55</v>
      </c>
      <c r="D24" s="14">
        <v>49</v>
      </c>
    </row>
    <row r="25" spans="1:4" ht="25" customHeight="1" x14ac:dyDescent="0.25">
      <c r="A25" s="14">
        <v>24</v>
      </c>
      <c r="B25" s="14" t="s">
        <v>130</v>
      </c>
      <c r="C25" s="14">
        <v>46</v>
      </c>
      <c r="D25" s="14">
        <v>51</v>
      </c>
    </row>
    <row r="26" spans="1:4" ht="25" customHeight="1" x14ac:dyDescent="0.25">
      <c r="A26" s="14">
        <v>25</v>
      </c>
      <c r="B26" s="14" t="s">
        <v>130</v>
      </c>
      <c r="C26" s="14">
        <v>52</v>
      </c>
      <c r="D26" s="14">
        <v>54</v>
      </c>
    </row>
    <row r="27" spans="1:4" ht="25" customHeight="1" x14ac:dyDescent="0.25">
      <c r="A27" s="14">
        <v>26</v>
      </c>
      <c r="B27" s="14" t="s">
        <v>130</v>
      </c>
      <c r="C27" s="14">
        <v>48</v>
      </c>
      <c r="D27" s="14">
        <v>59</v>
      </c>
    </row>
    <row r="28" spans="1:4" ht="25" customHeight="1" x14ac:dyDescent="0.25">
      <c r="A28" s="14">
        <v>27</v>
      </c>
      <c r="B28" s="14" t="s">
        <v>130</v>
      </c>
      <c r="C28" s="14">
        <v>43</v>
      </c>
      <c r="D28" s="14">
        <v>39</v>
      </c>
    </row>
    <row r="29" spans="1:4" ht="25" customHeight="1" x14ac:dyDescent="0.25">
      <c r="A29" s="14">
        <v>28</v>
      </c>
      <c r="B29" s="14" t="s">
        <v>130</v>
      </c>
      <c r="C29" s="14">
        <v>56</v>
      </c>
      <c r="D29" s="14">
        <v>59</v>
      </c>
    </row>
    <row r="30" spans="1:4" ht="25" customHeight="1" x14ac:dyDescent="0.25">
      <c r="A30" s="14">
        <v>29</v>
      </c>
      <c r="B30" s="14" t="s">
        <v>130</v>
      </c>
      <c r="C30" s="14">
        <v>45</v>
      </c>
      <c r="D30" s="14">
        <v>44</v>
      </c>
    </row>
    <row r="31" spans="1:4" ht="25" customHeight="1" x14ac:dyDescent="0.25">
      <c r="A31" s="14">
        <v>30</v>
      </c>
      <c r="B31" s="14" t="s">
        <v>130</v>
      </c>
      <c r="C31" s="14">
        <v>51</v>
      </c>
      <c r="D31" s="14">
        <v>59</v>
      </c>
    </row>
    <row r="32" spans="1:4" ht="25" customHeight="1" x14ac:dyDescent="0.25">
      <c r="A32" s="14">
        <v>31</v>
      </c>
      <c r="B32" s="14" t="s">
        <v>130</v>
      </c>
      <c r="C32" s="14">
        <v>50</v>
      </c>
      <c r="D32" s="14">
        <v>50</v>
      </c>
    </row>
    <row r="33" spans="1:4" ht="25" customHeight="1" x14ac:dyDescent="0.25">
      <c r="A33" s="14">
        <v>32</v>
      </c>
      <c r="B33" s="14" t="s">
        <v>130</v>
      </c>
      <c r="C33" s="14">
        <v>47</v>
      </c>
      <c r="D33" s="14">
        <v>45</v>
      </c>
    </row>
  </sheetData>
  <mergeCells count="2">
    <mergeCell ref="F2:F3"/>
    <mergeCell ref="F4:F7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E4C9-7EAF-480A-9337-38BC79E72E26}">
  <dimension ref="A1:G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5" width="22.625" customWidth="1"/>
    <col min="7" max="7" width="60.625" customWidth="1"/>
  </cols>
  <sheetData>
    <row r="1" spans="1:7" ht="46.05" customHeight="1" x14ac:dyDescent="0.25">
      <c r="A1" s="4" t="s">
        <v>133</v>
      </c>
      <c r="B1" s="4" t="s">
        <v>134</v>
      </c>
      <c r="C1" s="4" t="s">
        <v>135</v>
      </c>
      <c r="D1" s="4" t="s">
        <v>136</v>
      </c>
      <c r="E1" s="4" t="s">
        <v>137</v>
      </c>
      <c r="G1" s="15" t="s">
        <v>97</v>
      </c>
    </row>
    <row r="2" spans="1:7" ht="25" customHeight="1" x14ac:dyDescent="0.25">
      <c r="A2" s="14" t="s">
        <v>138</v>
      </c>
      <c r="B2" s="14">
        <v>49.2</v>
      </c>
      <c r="C2" s="14">
        <v>50.1</v>
      </c>
      <c r="D2" s="14">
        <v>10</v>
      </c>
      <c r="E2" s="14">
        <v>200</v>
      </c>
      <c r="G2" s="17" t="s">
        <v>140</v>
      </c>
    </row>
    <row r="3" spans="1:7" ht="25" customHeight="1" x14ac:dyDescent="0.25">
      <c r="A3" s="14" t="s">
        <v>139</v>
      </c>
      <c r="B3" s="14">
        <v>49.2</v>
      </c>
      <c r="C3" s="14">
        <v>50.1</v>
      </c>
      <c r="D3" s="14">
        <v>10</v>
      </c>
      <c r="E3" s="14">
        <v>30</v>
      </c>
      <c r="G3" s="16"/>
    </row>
    <row r="4" spans="1:7" x14ac:dyDescent="0.25">
      <c r="G4" s="17" t="s">
        <v>141</v>
      </c>
    </row>
    <row r="5" spans="1:7" x14ac:dyDescent="0.25">
      <c r="G5" s="16"/>
    </row>
    <row r="6" spans="1:7" x14ac:dyDescent="0.25">
      <c r="G6" s="16"/>
    </row>
    <row r="7" spans="1:7" x14ac:dyDescent="0.25">
      <c r="G7" s="16"/>
    </row>
  </sheetData>
  <mergeCells count="2">
    <mergeCell ref="G2:G3"/>
    <mergeCell ref="G4:G7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73B1-92D1-444B-A815-6796CA49E90A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8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104</v>
      </c>
      <c r="B1" s="4" t="s">
        <v>1</v>
      </c>
      <c r="D1" s="15" t="s">
        <v>97</v>
      </c>
    </row>
    <row r="2" spans="1:4" ht="25" customHeight="1" x14ac:dyDescent="0.25">
      <c r="A2" s="14" t="s">
        <v>124</v>
      </c>
      <c r="B2" s="14">
        <v>20</v>
      </c>
      <c r="D2" s="17" t="s">
        <v>144</v>
      </c>
    </row>
    <row r="3" spans="1:4" ht="25" customHeight="1" x14ac:dyDescent="0.25">
      <c r="A3" s="14" t="s">
        <v>142</v>
      </c>
      <c r="B3" s="14">
        <v>2.5</v>
      </c>
      <c r="D3" s="16"/>
    </row>
    <row r="4" spans="1:4" ht="25" customHeight="1" x14ac:dyDescent="0.25">
      <c r="A4" s="14" t="s">
        <v>143</v>
      </c>
      <c r="B4" s="14">
        <v>4</v>
      </c>
      <c r="D4" s="17" t="s">
        <v>145</v>
      </c>
    </row>
    <row r="5" spans="1:4" x14ac:dyDescent="0.25">
      <c r="D5" s="16"/>
    </row>
    <row r="6" spans="1:4" x14ac:dyDescent="0.25"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796E-B00A-4FB8-8536-A423A51C0845}">
  <dimension ref="A1:E16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3" width="22.625" customWidth="1"/>
    <col min="5" max="5" width="60.625" customWidth="1"/>
  </cols>
  <sheetData>
    <row r="1" spans="1:5" ht="46.05" customHeight="1" x14ac:dyDescent="0.25">
      <c r="A1" s="4" t="s">
        <v>2</v>
      </c>
      <c r="B1" s="4" t="s">
        <v>146</v>
      </c>
      <c r="C1" s="4" t="s">
        <v>147</v>
      </c>
      <c r="E1" s="15" t="s">
        <v>97</v>
      </c>
    </row>
    <row r="2" spans="1:5" ht="25" customHeight="1" x14ac:dyDescent="0.25">
      <c r="A2" s="14">
        <v>1</v>
      </c>
      <c r="B2" s="14">
        <v>612</v>
      </c>
      <c r="C2" s="14">
        <v>689</v>
      </c>
      <c r="E2" s="17" t="s">
        <v>148</v>
      </c>
    </row>
    <row r="3" spans="1:5" ht="25" customHeight="1" x14ac:dyDescent="0.25">
      <c r="A3" s="14">
        <v>2</v>
      </c>
      <c r="B3" s="14">
        <v>685</v>
      </c>
      <c r="C3" s="14">
        <v>742</v>
      </c>
      <c r="E3" s="16"/>
    </row>
    <row r="4" spans="1:5" ht="25" customHeight="1" x14ac:dyDescent="0.25">
      <c r="A4" s="14">
        <v>3</v>
      </c>
      <c r="B4" s="14">
        <v>590</v>
      </c>
      <c r="C4" s="14">
        <v>671</v>
      </c>
      <c r="E4" s="17" t="s">
        <v>149</v>
      </c>
    </row>
    <row r="5" spans="1:5" ht="25" customHeight="1" x14ac:dyDescent="0.25">
      <c r="A5" s="14">
        <v>4</v>
      </c>
      <c r="B5" s="14">
        <v>731</v>
      </c>
      <c r="C5" s="14">
        <v>790</v>
      </c>
      <c r="E5" s="16"/>
    </row>
    <row r="6" spans="1:5" ht="25" customHeight="1" x14ac:dyDescent="0.25">
      <c r="A6" s="14">
        <v>5</v>
      </c>
      <c r="B6" s="14">
        <v>648</v>
      </c>
      <c r="C6" s="14">
        <v>702</v>
      </c>
      <c r="E6" s="16"/>
    </row>
    <row r="7" spans="1:5" ht="25" customHeight="1" x14ac:dyDescent="0.25">
      <c r="A7" s="14">
        <v>6</v>
      </c>
      <c r="B7" s="14">
        <v>577</v>
      </c>
      <c r="C7" s="14">
        <v>660</v>
      </c>
      <c r="E7" s="16"/>
    </row>
    <row r="8" spans="1:5" ht="25" customHeight="1" x14ac:dyDescent="0.25">
      <c r="A8" s="14">
        <v>7</v>
      </c>
      <c r="B8" s="14">
        <v>702</v>
      </c>
      <c r="C8" s="14"/>
    </row>
    <row r="9" spans="1:5" ht="25" customHeight="1" x14ac:dyDescent="0.25">
      <c r="A9" s="14">
        <v>8</v>
      </c>
      <c r="B9" s="14">
        <v>659</v>
      </c>
      <c r="C9" s="14">
        <v>731</v>
      </c>
    </row>
    <row r="10" spans="1:5" ht="25" customHeight="1" x14ac:dyDescent="0.25">
      <c r="A10" s="14">
        <v>9</v>
      </c>
      <c r="B10" s="14"/>
      <c r="C10" s="14">
        <v>698</v>
      </c>
    </row>
    <row r="11" spans="1:5" ht="25" customHeight="1" x14ac:dyDescent="0.25">
      <c r="A11" s="14">
        <v>10</v>
      </c>
      <c r="B11" s="14">
        <v>624</v>
      </c>
      <c r="C11" s="14">
        <v>701</v>
      </c>
    </row>
    <row r="12" spans="1:5" ht="25" customHeight="1" x14ac:dyDescent="0.25">
      <c r="A12" s="14">
        <v>11</v>
      </c>
      <c r="B12" s="14">
        <v>690</v>
      </c>
      <c r="C12" s="14">
        <v>768</v>
      </c>
    </row>
    <row r="13" spans="1:5" ht="25" customHeight="1" x14ac:dyDescent="0.25">
      <c r="A13" s="14">
        <v>12</v>
      </c>
      <c r="B13" s="14">
        <v>605</v>
      </c>
      <c r="C13" s="14">
        <v>672</v>
      </c>
    </row>
    <row r="14" spans="1:5" ht="25" customHeight="1" x14ac:dyDescent="0.25">
      <c r="A14" s="14">
        <v>13</v>
      </c>
      <c r="B14" s="14">
        <v>668</v>
      </c>
      <c r="C14" s="14">
        <v>735</v>
      </c>
    </row>
    <row r="15" spans="1:5" ht="25" customHeight="1" x14ac:dyDescent="0.25">
      <c r="A15" s="14">
        <v>14</v>
      </c>
      <c r="B15" s="14">
        <v>641</v>
      </c>
      <c r="C15" s="14">
        <v>699</v>
      </c>
    </row>
    <row r="16" spans="1:5" ht="25" customHeight="1" x14ac:dyDescent="0.25">
      <c r="A16" s="14">
        <v>15</v>
      </c>
      <c r="B16" s="14">
        <v>720</v>
      </c>
      <c r="C16" s="14">
        <v>805</v>
      </c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457B-AA4F-4A17-95A7-95874AAD5D93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2.625" customWidth="1"/>
    <col min="2" max="3" width="22.625" customWidth="1"/>
    <col min="5" max="5" width="60.625" customWidth="1"/>
  </cols>
  <sheetData>
    <row r="1" spans="1:5" ht="46.05" customHeight="1" x14ac:dyDescent="0.25">
      <c r="A1" s="4" t="s">
        <v>104</v>
      </c>
      <c r="B1" s="4" t="s">
        <v>150</v>
      </c>
      <c r="C1" s="4" t="s">
        <v>151</v>
      </c>
      <c r="E1" s="15" t="s">
        <v>97</v>
      </c>
    </row>
    <row r="2" spans="1:5" ht="25" customHeight="1" x14ac:dyDescent="0.25">
      <c r="A2" s="14" t="s">
        <v>152</v>
      </c>
      <c r="B2" s="14">
        <v>9.64</v>
      </c>
      <c r="C2" s="14">
        <v>6.58</v>
      </c>
      <c r="E2" s="17" t="s">
        <v>154</v>
      </c>
    </row>
    <row r="3" spans="1:5" ht="25" customHeight="1" x14ac:dyDescent="0.25">
      <c r="A3" s="14" t="s">
        <v>153</v>
      </c>
      <c r="B3" s="14">
        <v>3.17</v>
      </c>
      <c r="C3" s="14">
        <v>3.03</v>
      </c>
      <c r="E3" s="16"/>
    </row>
    <row r="4" spans="1:5" ht="25" customHeight="1" x14ac:dyDescent="0.25">
      <c r="A4" s="14" t="s">
        <v>124</v>
      </c>
      <c r="B4" s="14">
        <v>11</v>
      </c>
      <c r="C4" s="14">
        <v>12</v>
      </c>
      <c r="E4" s="17" t="s">
        <v>155</v>
      </c>
    </row>
    <row r="5" spans="1:5" x14ac:dyDescent="0.25">
      <c r="E5" s="16"/>
    </row>
    <row r="6" spans="1:5" x14ac:dyDescent="0.25">
      <c r="E6" s="16"/>
    </row>
    <row r="7" spans="1:5" x14ac:dyDescent="0.25">
      <c r="E7" s="16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B5DF0-B1B4-40DB-A96D-93F777F52063}">
  <dimension ref="A1:D26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2" width="22.625" customWidth="1"/>
    <col min="4" max="4" width="60.625" customWidth="1"/>
  </cols>
  <sheetData>
    <row r="1" spans="1:4" ht="46.05" customHeight="1" x14ac:dyDescent="0.25">
      <c r="A1" s="4" t="s">
        <v>156</v>
      </c>
      <c r="B1" s="4" t="s">
        <v>157</v>
      </c>
      <c r="D1" s="15" t="s">
        <v>97</v>
      </c>
    </row>
    <row r="2" spans="1:4" ht="25" customHeight="1" x14ac:dyDescent="0.25">
      <c r="A2" s="14">
        <v>78</v>
      </c>
      <c r="B2" s="14">
        <v>52</v>
      </c>
      <c r="D2" s="17" t="s">
        <v>158</v>
      </c>
    </row>
    <row r="3" spans="1:4" ht="25" customHeight="1" x14ac:dyDescent="0.25">
      <c r="A3" s="14">
        <v>41</v>
      </c>
      <c r="B3" s="14">
        <v>48</v>
      </c>
      <c r="D3" s="16"/>
    </row>
    <row r="4" spans="1:4" ht="25" customHeight="1" x14ac:dyDescent="0.25">
      <c r="A4" s="14">
        <v>95</v>
      </c>
      <c r="B4" s="14">
        <v>61</v>
      </c>
      <c r="D4" s="17" t="s">
        <v>159</v>
      </c>
    </row>
    <row r="5" spans="1:4" ht="25" customHeight="1" x14ac:dyDescent="0.25">
      <c r="A5" s="14">
        <v>62</v>
      </c>
      <c r="B5" s="14">
        <v>44</v>
      </c>
      <c r="D5" s="16"/>
    </row>
    <row r="6" spans="1:4" ht="25" customHeight="1" x14ac:dyDescent="0.25">
      <c r="A6" s="14">
        <v>54</v>
      </c>
      <c r="B6" s="14">
        <v>57</v>
      </c>
      <c r="D6" s="16"/>
    </row>
    <row r="7" spans="1:4" ht="25" customHeight="1" x14ac:dyDescent="0.25">
      <c r="A7" s="14">
        <v>88</v>
      </c>
      <c r="B7" s="14">
        <v>50</v>
      </c>
      <c r="D7" s="16"/>
    </row>
    <row r="8" spans="1:4" ht="25" customHeight="1" x14ac:dyDescent="0.25">
      <c r="A8" s="14">
        <v>47</v>
      </c>
      <c r="B8" s="14">
        <v>46</v>
      </c>
    </row>
    <row r="9" spans="1:4" ht="25" customHeight="1" x14ac:dyDescent="0.25">
      <c r="A9" s="14">
        <v>71</v>
      </c>
      <c r="B9" s="14">
        <v>55</v>
      </c>
    </row>
    <row r="10" spans="1:4" ht="25" customHeight="1" x14ac:dyDescent="0.25">
      <c r="A10" s="14">
        <v>39</v>
      </c>
      <c r="B10" s="14">
        <v>49</v>
      </c>
    </row>
    <row r="11" spans="1:4" ht="25" customHeight="1" x14ac:dyDescent="0.25">
      <c r="A11" s="14">
        <v>66</v>
      </c>
      <c r="B11" s="14">
        <v>63</v>
      </c>
    </row>
    <row r="12" spans="1:4" ht="25" customHeight="1" x14ac:dyDescent="0.25">
      <c r="A12" s="14"/>
      <c r="B12" s="14">
        <v>51</v>
      </c>
    </row>
    <row r="13" spans="1:4" ht="25" customHeight="1" x14ac:dyDescent="0.25">
      <c r="A13" s="14"/>
      <c r="B13" s="14">
        <v>45</v>
      </c>
    </row>
    <row r="14" spans="1:4" ht="25" customHeight="1" x14ac:dyDescent="0.25">
      <c r="A14" s="14"/>
      <c r="B14" s="14">
        <v>58</v>
      </c>
    </row>
    <row r="15" spans="1:4" ht="25" customHeight="1" x14ac:dyDescent="0.25">
      <c r="A15" s="14"/>
      <c r="B15" s="14">
        <v>53</v>
      </c>
    </row>
    <row r="16" spans="1:4" ht="25" customHeight="1" x14ac:dyDescent="0.25">
      <c r="A16" s="14"/>
      <c r="B16" s="14">
        <v>47</v>
      </c>
    </row>
    <row r="17" spans="1:2" ht="25" customHeight="1" x14ac:dyDescent="0.25">
      <c r="A17" s="14"/>
      <c r="B17" s="14">
        <v>60</v>
      </c>
    </row>
    <row r="18" spans="1:2" ht="25" customHeight="1" x14ac:dyDescent="0.25">
      <c r="A18" s="14"/>
      <c r="B18" s="14">
        <v>50</v>
      </c>
    </row>
    <row r="19" spans="1:2" ht="25" customHeight="1" x14ac:dyDescent="0.25">
      <c r="A19" s="14"/>
      <c r="B19" s="14">
        <v>54</v>
      </c>
    </row>
    <row r="20" spans="1:2" ht="25" customHeight="1" x14ac:dyDescent="0.25">
      <c r="A20" s="14"/>
      <c r="B20" s="14">
        <v>42</v>
      </c>
    </row>
    <row r="21" spans="1:2" ht="25" customHeight="1" x14ac:dyDescent="0.25">
      <c r="A21" s="14"/>
      <c r="B21" s="14">
        <v>56</v>
      </c>
    </row>
    <row r="22" spans="1:2" ht="25" customHeight="1" x14ac:dyDescent="0.25">
      <c r="A22" s="14"/>
      <c r="B22" s="14">
        <v>49</v>
      </c>
    </row>
    <row r="23" spans="1:2" ht="25" customHeight="1" x14ac:dyDescent="0.25">
      <c r="A23" s="14"/>
      <c r="B23" s="14">
        <v>52</v>
      </c>
    </row>
    <row r="24" spans="1:2" ht="25" customHeight="1" x14ac:dyDescent="0.25">
      <c r="A24" s="14"/>
      <c r="B24" s="14">
        <v>59</v>
      </c>
    </row>
    <row r="25" spans="1:2" ht="25" customHeight="1" x14ac:dyDescent="0.25">
      <c r="A25" s="14"/>
      <c r="B25" s="14">
        <v>48</v>
      </c>
    </row>
    <row r="26" spans="1:2" ht="25" customHeight="1" x14ac:dyDescent="0.25">
      <c r="A26" s="14"/>
      <c r="B26" s="14">
        <v>51</v>
      </c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E35D-3013-458C-9264-85582F604E22}">
  <dimension ref="A1:D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46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104</v>
      </c>
      <c r="B1" s="4" t="s">
        <v>1</v>
      </c>
      <c r="D1" s="15" t="s">
        <v>97</v>
      </c>
    </row>
    <row r="2" spans="1:4" ht="25" customHeight="1" x14ac:dyDescent="0.25">
      <c r="A2" s="14" t="s">
        <v>160</v>
      </c>
      <c r="B2" s="14">
        <v>25</v>
      </c>
      <c r="D2" s="17" t="s">
        <v>165</v>
      </c>
    </row>
    <row r="3" spans="1:4" ht="25" customHeight="1" x14ac:dyDescent="0.25">
      <c r="A3" s="14" t="s">
        <v>161</v>
      </c>
      <c r="B3" s="14">
        <v>6</v>
      </c>
      <c r="D3" s="16"/>
    </row>
    <row r="4" spans="1:4" ht="25" customHeight="1" x14ac:dyDescent="0.25">
      <c r="A4" s="14" t="s">
        <v>162</v>
      </c>
      <c r="B4" s="14">
        <v>6</v>
      </c>
      <c r="D4" s="17" t="s">
        <v>145</v>
      </c>
    </row>
    <row r="5" spans="1:4" ht="25" customHeight="1" x14ac:dyDescent="0.25">
      <c r="A5" s="14" t="s">
        <v>163</v>
      </c>
      <c r="B5" s="14">
        <v>3</v>
      </c>
      <c r="D5" s="16"/>
    </row>
    <row r="6" spans="1:4" ht="25" customHeight="1" x14ac:dyDescent="0.25">
      <c r="A6" s="14" t="s">
        <v>164</v>
      </c>
      <c r="B6" s="14">
        <v>3</v>
      </c>
      <c r="D6" s="16"/>
    </row>
    <row r="7" spans="1:4" x14ac:dyDescent="0.25">
      <c r="D7" s="16"/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B8D0-84D4-4759-AE57-E0667F47AC34}">
  <dimension ref="A1:E7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3.625" customWidth="1"/>
    <col min="2" max="3" width="22.625" customWidth="1"/>
    <col min="5" max="5" width="60.625" customWidth="1"/>
  </cols>
  <sheetData>
    <row r="1" spans="1:5" ht="46.05" customHeight="1" x14ac:dyDescent="0.25">
      <c r="A1" s="4" t="s">
        <v>104</v>
      </c>
      <c r="B1" s="4" t="s">
        <v>166</v>
      </c>
      <c r="C1" s="4" t="s">
        <v>150</v>
      </c>
      <c r="E1" s="15" t="s">
        <v>97</v>
      </c>
    </row>
    <row r="2" spans="1:5" ht="25" customHeight="1" x14ac:dyDescent="0.25">
      <c r="A2" s="14" t="s">
        <v>167</v>
      </c>
      <c r="B2" s="14">
        <v>20</v>
      </c>
      <c r="C2" s="14">
        <v>20</v>
      </c>
      <c r="E2" s="17" t="s">
        <v>168</v>
      </c>
    </row>
    <row r="3" spans="1:5" ht="25" customHeight="1" x14ac:dyDescent="0.25">
      <c r="A3" s="14" t="s">
        <v>163</v>
      </c>
      <c r="B3" s="14">
        <v>3.1</v>
      </c>
      <c r="C3" s="14">
        <v>1.2</v>
      </c>
      <c r="E3" s="16"/>
    </row>
    <row r="4" spans="1:5" ht="25" customHeight="1" x14ac:dyDescent="0.25">
      <c r="A4" s="14" t="s">
        <v>164</v>
      </c>
      <c r="B4" s="14">
        <v>5</v>
      </c>
      <c r="C4" s="14">
        <v>5.2</v>
      </c>
      <c r="E4" s="17" t="s">
        <v>145</v>
      </c>
    </row>
    <row r="5" spans="1:5" x14ac:dyDescent="0.25">
      <c r="E5" s="16"/>
    </row>
    <row r="6" spans="1:5" x14ac:dyDescent="0.25">
      <c r="E6" s="16"/>
    </row>
    <row r="7" spans="1:5" x14ac:dyDescent="0.25">
      <c r="E7" s="16"/>
    </row>
  </sheetData>
  <mergeCells count="2">
    <mergeCell ref="E2:E3"/>
    <mergeCell ref="E4:E7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4357-4CF5-4362-AAE6-82C780A20675}">
  <dimension ref="A1:D8"/>
  <sheetViews>
    <sheetView workbookViewId="0">
      <pane ySplit="1" topLeftCell="A2" activePane="bottomLeft" state="frozenSplit"/>
      <selection pane="bottomLeft"/>
    </sheetView>
  </sheetViews>
  <sheetFormatPr defaultRowHeight="14.3" x14ac:dyDescent="0.25"/>
  <cols>
    <col min="1" max="1" width="36.625" customWidth="1"/>
    <col min="2" max="2" width="22.625" customWidth="1"/>
    <col min="4" max="4" width="60.625" customWidth="1"/>
  </cols>
  <sheetData>
    <row r="1" spans="1:4" ht="46.05" customHeight="1" x14ac:dyDescent="0.25">
      <c r="A1" s="4" t="s">
        <v>104</v>
      </c>
      <c r="B1" s="4" t="s">
        <v>1</v>
      </c>
      <c r="D1" s="15" t="s">
        <v>97</v>
      </c>
    </row>
    <row r="2" spans="1:4" ht="25" customHeight="1" x14ac:dyDescent="0.25">
      <c r="A2" s="14" t="s">
        <v>169</v>
      </c>
      <c r="B2" s="14">
        <v>2</v>
      </c>
      <c r="D2" s="17" t="s">
        <v>176</v>
      </c>
    </row>
    <row r="3" spans="1:4" ht="25" customHeight="1" x14ac:dyDescent="0.25">
      <c r="A3" s="14" t="s">
        <v>170</v>
      </c>
      <c r="B3" s="14">
        <v>30.6</v>
      </c>
      <c r="D3" s="16"/>
    </row>
    <row r="4" spans="1:4" ht="25" customHeight="1" x14ac:dyDescent="0.25">
      <c r="A4" s="14" t="s">
        <v>171</v>
      </c>
      <c r="B4" s="14">
        <v>8</v>
      </c>
      <c r="D4" s="17" t="s">
        <v>177</v>
      </c>
    </row>
    <row r="5" spans="1:4" ht="25" customHeight="1" x14ac:dyDescent="0.25">
      <c r="A5" s="14" t="s">
        <v>172</v>
      </c>
      <c r="B5" s="14">
        <v>250</v>
      </c>
      <c r="D5" s="16"/>
    </row>
    <row r="6" spans="1:4" ht="25" customHeight="1" x14ac:dyDescent="0.25">
      <c r="A6" s="14" t="s">
        <v>173</v>
      </c>
      <c r="B6" s="14">
        <v>30</v>
      </c>
      <c r="D6" s="16"/>
    </row>
    <row r="7" spans="1:4" ht="25" customHeight="1" x14ac:dyDescent="0.25">
      <c r="A7" s="14" t="s">
        <v>174</v>
      </c>
      <c r="B7" s="14">
        <v>8</v>
      </c>
      <c r="D7" s="16"/>
    </row>
    <row r="8" spans="1:4" ht="25" customHeight="1" x14ac:dyDescent="0.25">
      <c r="A8" s="14" t="s">
        <v>175</v>
      </c>
      <c r="B8" s="14">
        <v>250</v>
      </c>
    </row>
  </sheetData>
  <mergeCells count="2">
    <mergeCell ref="D2:D3"/>
    <mergeCell ref="D4:D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20</vt:i4>
      </vt:variant>
    </vt:vector>
  </HeadingPairs>
  <TitlesOfParts>
    <vt:vector size="20" baseType="lpstr">
      <vt:lpstr>Prehled</vt:lpstr>
      <vt:lpstr>Parovy_test</vt:lpstr>
      <vt:lpstr>Klasicky_test</vt:lpstr>
      <vt:lpstr>Welch</vt:lpstr>
      <vt:lpstr>Zmeny</vt:lpstr>
      <vt:lpstr>Ekvivalence_skupin</vt:lpstr>
      <vt:lpstr>Spanek_par</vt:lpstr>
      <vt:lpstr>Spanek_skupiny</vt:lpstr>
      <vt:lpstr>Parkovani</vt:lpstr>
      <vt:lpstr>Anorexie</vt:lpstr>
      <vt:lpstr>Vedle_sebe</vt:lpstr>
      <vt:lpstr>Trenink</vt:lpstr>
      <vt:lpstr>Ekv_studie</vt:lpstr>
      <vt:lpstr>U02_relaxace</vt:lpstr>
      <vt:lpstr>U03_stroop</vt:lpstr>
      <vt:lpstr>U05_hrozba</vt:lpstr>
      <vt:lpstr>U06_hudba</vt:lpstr>
      <vt:lpstr>U07_standardizace</vt:lpstr>
      <vt:lpstr>U09_zmeny</vt:lpstr>
      <vt:lpstr>U10_verze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2026-11-01T13:10:01Z</dcterms:created>
  <dcterms:modified xsi:type="dcterms:W3CDTF">2026-11-01T13:10:12Z</dcterms:modified>
</cp:coreProperties>
</file>