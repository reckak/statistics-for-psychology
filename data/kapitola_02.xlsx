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R Projects\github\statistics-for-psychology\data\"/>
    </mc:Choice>
  </mc:AlternateContent>
  <xr:revisionPtr revIDLastSave="0" documentId="13_ncr:1_{AE3B78C2-BDC9-4873-8BE4-3EB60FCCD27A}" xr6:coauthVersionLast="47" xr6:coauthVersionMax="47" xr10:uidLastSave="{00000000-0000-0000-0000-000000000000}"/>
  <bookViews>
    <workbookView xWindow="4184" yWindow="2771" windowWidth="25839" windowHeight="16071" xr2:uid="{00000000-000D-0000-FFFF-FFFF00000000}"/>
  </bookViews>
  <sheets>
    <sheet name="Cetnosti" sheetId="1" r:id="rId1"/>
    <sheet name="Histogram" sheetId="2" r:id="rId2"/>
    <sheet name="Data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2" l="1"/>
  <c r="C5" i="1"/>
  <c r="C2" i="1"/>
  <c r="D10" i="2"/>
  <c r="D9" i="2"/>
  <c r="D8" i="2"/>
  <c r="E8" i="2" s="1"/>
  <c r="F8" i="2" s="1"/>
  <c r="D7" i="2"/>
  <c r="E7" i="2" s="1"/>
  <c r="F7" i="2" s="1"/>
  <c r="D6" i="2"/>
  <c r="E6" i="2" s="1"/>
  <c r="F6" i="2" s="1"/>
  <c r="C2" i="2"/>
  <c r="C8" i="1"/>
  <c r="C7" i="1"/>
  <c r="C6" i="1"/>
  <c r="E10" i="2" l="1"/>
  <c r="F10" i="2" s="1"/>
  <c r="E9" i="2"/>
  <c r="F9" i="2" s="1"/>
  <c r="C10" i="1"/>
  <c r="F6" i="1"/>
  <c r="D12" i="2"/>
  <c r="D7" i="1"/>
  <c r="E7" i="1" s="1"/>
  <c r="D8" i="1"/>
  <c r="E8" i="1" s="1"/>
  <c r="D6" i="1"/>
  <c r="E6" i="1" s="1"/>
  <c r="F5" i="1"/>
  <c r="G5" i="1" s="1"/>
  <c r="H5" i="1" s="1"/>
  <c r="F7" i="1"/>
  <c r="G7" i="1" s="1"/>
  <c r="H7" i="1" s="1"/>
  <c r="E5" i="2"/>
  <c r="G6" i="1"/>
  <c r="H6" i="1" s="1"/>
  <c r="F8" i="1"/>
  <c r="G8" i="1" s="1"/>
  <c r="H8" i="1" s="1"/>
  <c r="D5" i="1"/>
  <c r="E12" i="2" l="1"/>
  <c r="F12" i="2" s="1"/>
  <c r="F5" i="2"/>
  <c r="D10" i="1"/>
  <c r="E10" i="1" s="1"/>
  <c r="E5" i="1"/>
</calcChain>
</file>

<file path=xl/sharedStrings.xml><?xml version="1.0" encoding="utf-8"?>
<sst xmlns="http://schemas.openxmlformats.org/spreadsheetml/2006/main" count="125" uniqueCount="87">
  <si>
    <t>Odpočatost před úlohou</t>
  </si>
  <si>
    <t>Platné odpovědi n</t>
  </si>
  <si>
    <t>Kód</t>
  </si>
  <si>
    <t>Odpočatost</t>
  </si>
  <si>
    <t>Četnost</t>
  </si>
  <si>
    <t>Podíl</t>
  </si>
  <si>
    <t>Procenta</t>
  </si>
  <si>
    <t>Kumul. počet</t>
  </si>
  <si>
    <t>Kumul. podíl</t>
  </si>
  <si>
    <t>Kumul. %</t>
  </si>
  <si>
    <t>Vůbec</t>
  </si>
  <si>
    <t>Trochu</t>
  </si>
  <si>
    <t>Dost</t>
  </si>
  <si>
    <t>Zcela</t>
  </si>
  <si>
    <t>Celkem</t>
  </si>
  <si>
    <t>Počítáme 36 modelových účastníků. Odpočatost má čtyři uspořádané kategorie.</t>
  </si>
  <si>
    <t>Podíly se počítají z nezkrácených hodnot. Kumulativní sloupce už nesčítáme.</t>
  </si>
  <si>
    <t>Zkuste změnit Data!E2 z 2 na 3 a sledujte tabulku i graf. Potom obnovte 2.</t>
  </si>
  <si>
    <t>Doba spánku: intervalové četnosti</t>
  </si>
  <si>
    <t>Platné údaje n</t>
  </si>
  <si>
    <t>Dolní mez</t>
  </si>
  <si>
    <t>Horní mez</t>
  </si>
  <si>
    <t>Interval (h)</t>
  </si>
  <si>
    <t>4 až &lt; 5</t>
  </si>
  <si>
    <t>5 až &lt; 6</t>
  </si>
  <si>
    <t>6 až &lt; 7</t>
  </si>
  <si>
    <t>7 až &lt; 8</t>
  </si>
  <si>
    <t>8 až &lt; 9</t>
  </si>
  <si>
    <t>9 až &lt; 10</t>
  </si>
  <si>
    <t>Dolní mez patří do intervalu, horní už ne. Intervaly mají šířku 1 hodina.</t>
  </si>
  <si>
    <t>Tři z 36 účastníků spánek neuvedli. Prázdná buňka neznamená 0 hodin.</t>
  </si>
  <si>
    <t>Zkuste změnit Data!B2 z 6 na 7. Po ověření přesunu obnovte hodnotu 6.</t>
  </si>
  <si>
    <t>Při rozšíření dat upravte oblasti ve vzorcích a pokrytí intervaly.</t>
  </si>
  <si>
    <t>id</t>
  </si>
  <si>
    <t>spanek_h</t>
  </si>
  <si>
    <t>slova</t>
  </si>
  <si>
    <t>cast_dne</t>
  </si>
  <si>
    <t>odpocatost</t>
  </si>
  <si>
    <t>Modelová data vytvořená pro výuku; nejde o skutečný výzkum.</t>
  </si>
  <si>
    <t>P01</t>
  </si>
  <si>
    <t>dopoledne</t>
  </si>
  <si>
    <t>P02</t>
  </si>
  <si>
    <t>odpoledne</t>
  </si>
  <si>
    <t>Jeden řádek = jeden účastník při jedné návštěvě. Všichni plní úlohu v tichu.</t>
  </si>
  <si>
    <t>P03</t>
  </si>
  <si>
    <t>spanek_h: odhad skutečného spánku předchozí noci v hodinách (0 až 24).</t>
  </si>
  <si>
    <t>P04</t>
  </si>
  <si>
    <t>Prázdná buňka znamená neuvedený spánek (P05, P11, P24).</t>
  </si>
  <si>
    <t>P05</t>
  </si>
  <si>
    <t>slova: počet různých správně vybavených slov z 12; jedna minuta na čtení</t>
  </si>
  <si>
    <t>P06</t>
  </si>
  <si>
    <t>a jedna na vybavení. Nula je platný výsledek, nikoli chybějící údaj.</t>
  </si>
  <si>
    <t>P07</t>
  </si>
  <si>
    <t>cast_dne: dopoledne před 12:00, odpoledne od 12:00.</t>
  </si>
  <si>
    <t>P08</t>
  </si>
  <si>
    <t>odpocatost: Jak odpočatě se právě cítíte? Odpověď před úlohou.</t>
  </si>
  <si>
    <t>P09</t>
  </si>
  <si>
    <t>1 = vůbec, 2 = trochu, 3 = dost, 4 = zcela.</t>
  </si>
  <si>
    <t>P10</t>
  </si>
  <si>
    <t>Změny čísel v původních 36 řádcích se promítnou do tabulek a grafů.</t>
  </si>
  <si>
    <t>P11</t>
  </si>
  <si>
    <t>Při přidání dalších řádků je potřeba rozšířit oblasti ve vzorcích.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</si>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</sst>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%"/>
    <numFmt numFmtId="166" formatCode="0.0"/>
  </numFmts>
  <fonts count="7">
    <font>
      <sz val="11"/>
      <name val="Carlito"/>
    </font>
    <font>
      <sz val="11"/>
      <color rgb="FF223744"/>
      <name val="Arial"/>
    </font>
    <font>
      <b/>
      <sz val="15"/>
      <color rgb="FF223744"/>
      <name val="Arial"/>
    </font>
    <font>
      <b/>
      <sz val="11"/>
      <color rgb="FFFFFFFF"/>
      <name val="Arial"/>
    </font>
    <font>
      <b/>
      <sz val="11"/>
      <color rgb="FF223744"/>
      <name val="Arial"/>
    </font>
    <font>
      <i/>
      <sz val="10"/>
      <color rgb="FF526775"/>
      <name val="Arial"/>
    </font>
    <font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234F62"/>
      </patternFill>
    </fill>
    <fill>
      <patternFill patternType="solid">
        <fgColor rgb="FFEFF6FA"/>
      </patternFill>
    </fill>
    <fill>
      <patternFill patternType="solid">
        <fgColor rgb="FFFFF8E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5">
    <xf numFmtId="0" fontId="0" fillId="0" borderId="0" xfId="0"/>
    <xf numFmtId="0" fontId="1" fillId="0" borderId="0" xfId="1" applyFont="1" applyAlignment="1">
      <alignment vertical="center"/>
    </xf>
    <xf numFmtId="0" fontId="2" fillId="0" borderId="0" xfId="1" applyFont="1" applyAlignment="1">
      <alignment vertical="center"/>
    </xf>
    <xf numFmtId="0" fontId="3" fillId="2" borderId="0" xfId="1" applyFont="1" applyFill="1" applyAlignment="1">
      <alignment horizontal="center" vertical="center" wrapText="1"/>
    </xf>
    <xf numFmtId="164" fontId="1" fillId="0" borderId="0" xfId="1" applyNumberFormat="1" applyFont="1" applyAlignment="1">
      <alignment vertical="center"/>
    </xf>
    <xf numFmtId="165" fontId="1" fillId="0" borderId="0" xfId="1" applyNumberFormat="1" applyFont="1" applyAlignment="1">
      <alignment vertical="center"/>
    </xf>
    <xf numFmtId="0" fontId="1" fillId="3" borderId="0" xfId="1" applyFont="1" applyFill="1" applyAlignment="1">
      <alignment vertical="center"/>
    </xf>
    <xf numFmtId="164" fontId="1" fillId="3" borderId="0" xfId="1" applyNumberFormat="1" applyFont="1" applyFill="1" applyAlignment="1">
      <alignment vertical="center"/>
    </xf>
    <xf numFmtId="165" fontId="1" fillId="3" borderId="0" xfId="1" applyNumberFormat="1" applyFont="1" applyFill="1" applyAlignment="1">
      <alignment vertical="center"/>
    </xf>
    <xf numFmtId="0" fontId="4" fillId="0" borderId="0" xfId="1" applyFont="1" applyAlignment="1">
      <alignment vertical="center"/>
    </xf>
    <xf numFmtId="164" fontId="4" fillId="0" borderId="0" xfId="1" applyNumberFormat="1" applyFont="1" applyAlignment="1">
      <alignment vertical="center"/>
    </xf>
    <xf numFmtId="165" fontId="4" fillId="0" borderId="0" xfId="1" applyNumberFormat="1" applyFont="1" applyAlignment="1">
      <alignment vertical="center"/>
    </xf>
    <xf numFmtId="0" fontId="5" fillId="0" borderId="0" xfId="1" applyFont="1" applyAlignment="1">
      <alignment vertical="center"/>
    </xf>
    <xf numFmtId="166" fontId="1" fillId="4" borderId="0" xfId="1" applyNumberFormat="1" applyFont="1" applyFill="1" applyAlignment="1">
      <alignment vertical="center"/>
    </xf>
    <xf numFmtId="0" fontId="1" fillId="4" borderId="0" xfId="1" applyFont="1" applyFill="1" applyAlignment="1">
      <alignment vertical="center"/>
    </xf>
  </cellXfs>
  <cellStyles count="2">
    <cellStyle name="Normal" xfId="1" xr:uid="{00000000-0005-0000-0000-000000000000}"/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title>
      <c:tx>
        <c:rich>
          <a:bodyPr/>
          <a:lstStyle/>
          <a:p>
            <a:r>
              <a:rPr lang="cs-CZ" sz="1125">
                <a:latin typeface="Arial"/>
                <a:ea typeface="Arial"/>
                <a:cs typeface="Arial"/>
              </a:rPr>
              <a:t>Odpočatost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Četnost</c:v>
          </c:tx>
          <c:spPr>
            <a:solidFill>
              <a:srgbClr val="267888"/>
            </a:solidFill>
          </c:spPr>
          <c:invertIfNegative val="1"/>
          <c:cat>
            <c:strRef>
              <c:f>Cetnosti!$B$5:$B$8</c:f>
              <c:strCache>
                <c:ptCount val="4"/>
                <c:pt idx="0">
                  <c:v>Vůbec</c:v>
                </c:pt>
                <c:pt idx="1">
                  <c:v>Trochu</c:v>
                </c:pt>
                <c:pt idx="2">
                  <c:v>Dost</c:v>
                </c:pt>
                <c:pt idx="3">
                  <c:v>Zcela</c:v>
                </c:pt>
              </c:strCache>
            </c:strRef>
          </c:cat>
          <c:val>
            <c:numRef>
              <c:f>Cetnosti!$C$5:$C$8</c:f>
              <c:numCache>
                <c:formatCode>General</c:formatCode>
                <c:ptCount val="4"/>
                <c:pt idx="0">
                  <c:v>4</c:v>
                </c:pt>
                <c:pt idx="1">
                  <c:v>10</c:v>
                </c:pt>
                <c:pt idx="2">
                  <c:v>14</c:v>
                </c:pt>
                <c:pt idx="3">
                  <c:v>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5B12-4AE9-AE0A-8CE683D2AE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cs-CZ"/>
                  <a:t>Odpočatost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cs-CZ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cs-CZ"/>
                  <a:t>Počet účastníků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cs-CZ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title>
      <c:tx>
        <c:rich>
          <a:bodyPr/>
          <a:lstStyle/>
          <a:p>
            <a:r>
              <a:rPr sz="1125">
                <a:latin typeface="Arial"/>
                <a:ea typeface="Arial"/>
                <a:cs typeface="Arial"/>
              </a:rPr>
              <a:t>Doba spánku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Četnost</c:v>
          </c:tx>
          <c:spPr>
            <a:solidFill>
              <a:srgbClr val="267888"/>
            </a:solidFill>
          </c:spPr>
          <c:invertIfNegative val="1"/>
          <c:cat>
            <c:strRef>
              <c:f>Histogram!$C$5:$C$10</c:f>
              <c:strCache>
                <c:ptCount val="6"/>
                <c:pt idx="0">
                  <c:v>4 až &lt; 5</c:v>
                </c:pt>
                <c:pt idx="1">
                  <c:v>5 až &lt; 6</c:v>
                </c:pt>
                <c:pt idx="2">
                  <c:v>6 až &lt; 7</c:v>
                </c:pt>
                <c:pt idx="3">
                  <c:v>7 až &lt; 8</c:v>
                </c:pt>
                <c:pt idx="4">
                  <c:v>8 až &lt; 9</c:v>
                </c:pt>
                <c:pt idx="5">
                  <c:v>9 až &lt; 10</c:v>
                </c:pt>
              </c:strCache>
            </c:strRef>
          </c:cat>
          <c:val>
            <c:numRef>
              <c:f>Histogram!$D$5:$D$10</c:f>
              <c:numCache>
                <c:formatCode>General</c:formatCode>
                <c:ptCount val="6"/>
                <c:pt idx="0">
                  <c:v>2</c:v>
                </c:pt>
                <c:pt idx="1">
                  <c:v>4</c:v>
                </c:pt>
                <c:pt idx="2">
                  <c:v>7</c:v>
                </c:pt>
                <c:pt idx="3">
                  <c:v>11</c:v>
                </c:pt>
                <c:pt idx="4">
                  <c:v>6</c:v>
                </c:pt>
                <c:pt idx="5">
                  <c:v>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9326-4A8A-AD6D-972A1E0DBE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t>Doba spánku (h)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cs-CZ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t>Počet účastníků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cs-CZ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8740157499999996" l="0.7" r="0.7" t="0.78740157499999996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2</xdr:row>
      <xdr:rowOff>0</xdr:rowOff>
    </xdr:from>
    <xdr:to>
      <xdr:col>18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</xdr:row>
      <xdr:rowOff>0</xdr:rowOff>
    </xdr:from>
    <xdr:to>
      <xdr:col>16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0"/>
  <sheetViews>
    <sheetView tabSelected="1" workbookViewId="0"/>
  </sheetViews>
  <sheetFormatPr defaultRowHeight="13.6"/>
  <cols>
    <col min="1" max="1" width="13" customWidth="1"/>
    <col min="2" max="2" width="23" customWidth="1"/>
    <col min="3" max="17" width="13" customWidth="1"/>
  </cols>
  <sheetData>
    <row r="1" spans="1:17" ht="22.1" customHeight="1">
      <c r="A1" s="2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2.1" customHeight="1">
      <c r="A2" s="1"/>
      <c r="B2" s="1" t="s">
        <v>1</v>
      </c>
      <c r="C2" s="1">
        <f>COUNT(Data!E2:E37)</f>
        <v>36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22.1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36" customHeight="1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1"/>
      <c r="J4" s="1"/>
      <c r="K4" s="1"/>
      <c r="L4" s="1"/>
      <c r="M4" s="1"/>
      <c r="N4" s="1"/>
      <c r="O4" s="1"/>
      <c r="P4" s="1"/>
      <c r="Q4" s="1"/>
    </row>
    <row r="5" spans="1:17" ht="22.1" customHeight="1">
      <c r="A5" s="1">
        <v>1</v>
      </c>
      <c r="B5" s="1" t="s">
        <v>10</v>
      </c>
      <c r="C5" s="6">
        <f>COUNTIFS(Data!$E$2:$E$37,A5)</f>
        <v>4</v>
      </c>
      <c r="D5" s="7">
        <f>C5/$C$2</f>
        <v>0.1111111111111111</v>
      </c>
      <c r="E5" s="8">
        <f>D5</f>
        <v>0.1111111111111111</v>
      </c>
      <c r="F5" s="6">
        <f>SUM($C$5:C5)</f>
        <v>4</v>
      </c>
      <c r="G5" s="7">
        <f>F5/$C$2</f>
        <v>0.1111111111111111</v>
      </c>
      <c r="H5" s="8">
        <f>G5</f>
        <v>0.1111111111111111</v>
      </c>
      <c r="I5" s="1"/>
      <c r="J5" s="1"/>
      <c r="K5" s="1"/>
      <c r="L5" s="1"/>
      <c r="M5" s="1"/>
      <c r="N5" s="1"/>
      <c r="O5" s="1"/>
      <c r="P5" s="1"/>
      <c r="Q5" s="1"/>
    </row>
    <row r="6" spans="1:17" ht="22.1" customHeight="1">
      <c r="A6" s="1">
        <v>2</v>
      </c>
      <c r="B6" s="1" t="s">
        <v>11</v>
      </c>
      <c r="C6" s="6">
        <f>COUNTIFS(Data!$E$2:$E$37,A6)</f>
        <v>10</v>
      </c>
      <c r="D6" s="7">
        <f>C6/$C$2</f>
        <v>0.27777777777777779</v>
      </c>
      <c r="E6" s="8">
        <f>D6</f>
        <v>0.27777777777777779</v>
      </c>
      <c r="F6" s="6">
        <f>SUM($C$5:C6)</f>
        <v>14</v>
      </c>
      <c r="G6" s="7">
        <f>F6/$C$2</f>
        <v>0.3888888888888889</v>
      </c>
      <c r="H6" s="8">
        <f>G6</f>
        <v>0.3888888888888889</v>
      </c>
      <c r="I6" s="1"/>
      <c r="J6" s="1"/>
      <c r="K6" s="1"/>
      <c r="L6" s="1"/>
      <c r="M6" s="1"/>
      <c r="N6" s="1"/>
      <c r="O6" s="1"/>
      <c r="P6" s="1"/>
      <c r="Q6" s="1"/>
    </row>
    <row r="7" spans="1:17" ht="22.1" customHeight="1">
      <c r="A7" s="1">
        <v>3</v>
      </c>
      <c r="B7" s="1" t="s">
        <v>12</v>
      </c>
      <c r="C7" s="6">
        <f>COUNTIFS(Data!$E$2:$E$37,A7)</f>
        <v>14</v>
      </c>
      <c r="D7" s="7">
        <f>C7/$C$2</f>
        <v>0.3888888888888889</v>
      </c>
      <c r="E7" s="8">
        <f>D7</f>
        <v>0.3888888888888889</v>
      </c>
      <c r="F7" s="6">
        <f>SUM($C$5:C7)</f>
        <v>28</v>
      </c>
      <c r="G7" s="7">
        <f>F7/$C$2</f>
        <v>0.77777777777777779</v>
      </c>
      <c r="H7" s="8">
        <f>G7</f>
        <v>0.77777777777777779</v>
      </c>
      <c r="I7" s="1"/>
      <c r="J7" s="1"/>
      <c r="K7" s="1"/>
      <c r="L7" s="1"/>
      <c r="M7" s="1"/>
      <c r="N7" s="1"/>
      <c r="O7" s="1"/>
      <c r="P7" s="1"/>
      <c r="Q7" s="1"/>
    </row>
    <row r="8" spans="1:17" ht="22.1" customHeight="1">
      <c r="A8" s="1">
        <v>4</v>
      </c>
      <c r="B8" s="1" t="s">
        <v>13</v>
      </c>
      <c r="C8" s="6">
        <f>COUNTIFS(Data!$E$2:$E$37,A8)</f>
        <v>8</v>
      </c>
      <c r="D8" s="7">
        <f>C8/$C$2</f>
        <v>0.22222222222222221</v>
      </c>
      <c r="E8" s="8">
        <f>D8</f>
        <v>0.22222222222222221</v>
      </c>
      <c r="F8" s="6">
        <f>SUM($C$5:C8)</f>
        <v>36</v>
      </c>
      <c r="G8" s="7">
        <f>F8/$C$2</f>
        <v>1</v>
      </c>
      <c r="H8" s="8">
        <f>G8</f>
        <v>1</v>
      </c>
      <c r="I8" s="1"/>
      <c r="J8" s="1"/>
      <c r="K8" s="1"/>
      <c r="L8" s="1"/>
      <c r="M8" s="1"/>
      <c r="N8" s="1"/>
      <c r="O8" s="1"/>
      <c r="P8" s="1"/>
      <c r="Q8" s="1"/>
    </row>
    <row r="9" spans="1:17" ht="22.1" customHeight="1">
      <c r="A9" s="1"/>
      <c r="B9" s="1"/>
      <c r="C9" s="1"/>
      <c r="D9" s="4"/>
      <c r="E9" s="5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22.1" customHeight="1">
      <c r="A10" s="1"/>
      <c r="B10" s="9" t="s">
        <v>14</v>
      </c>
      <c r="C10" s="9">
        <f>SUM(C5:C8)</f>
        <v>36</v>
      </c>
      <c r="D10" s="10">
        <f>SUM(D5:D8)</f>
        <v>1</v>
      </c>
      <c r="E10" s="11">
        <f>D10</f>
        <v>1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22.1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22.1" customHeight="1">
      <c r="A12" s="12" t="s">
        <v>15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22.1" customHeight="1">
      <c r="A13" s="12" t="s">
        <v>16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22.1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22.1" customHeight="1">
      <c r="A15" s="12" t="s">
        <v>17</v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22.1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22.1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22.1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22.1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22.1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22.1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22.1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22.1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ht="22.1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ht="22.1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ht="22.1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22.1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ht="22.1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ht="22.1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22.1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22.1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22.1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22.1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22.1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22.1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22.1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22.1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22.1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22.1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22.1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40"/>
  <sheetViews>
    <sheetView workbookViewId="0"/>
  </sheetViews>
  <sheetFormatPr defaultRowHeight="13.6"/>
  <cols>
    <col min="1" max="1" width="13" customWidth="1"/>
    <col min="2" max="2" width="20" customWidth="1"/>
    <col min="3" max="3" width="19" customWidth="1"/>
    <col min="4" max="17" width="13" customWidth="1"/>
  </cols>
  <sheetData>
    <row r="1" spans="1:17" ht="22.1" customHeight="1">
      <c r="A1" s="2" t="s">
        <v>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2.1" customHeight="1">
      <c r="A2" s="1"/>
      <c r="B2" s="1" t="s">
        <v>19</v>
      </c>
      <c r="C2" s="1">
        <f>COUNT(Data!B2:B37)</f>
        <v>33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22.1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36" customHeight="1">
      <c r="A4" s="3" t="s">
        <v>20</v>
      </c>
      <c r="B4" s="3" t="s">
        <v>21</v>
      </c>
      <c r="C4" s="3" t="s">
        <v>22</v>
      </c>
      <c r="D4" s="3" t="s">
        <v>4</v>
      </c>
      <c r="E4" s="3" t="s">
        <v>5</v>
      </c>
      <c r="F4" s="3" t="s">
        <v>6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22.1" customHeight="1">
      <c r="A5" s="1">
        <v>4</v>
      </c>
      <c r="B5" s="1">
        <v>5</v>
      </c>
      <c r="C5" s="1" t="s">
        <v>23</v>
      </c>
      <c r="D5" s="6">
        <f>COUNTIFS(Data!$B$2:$B$37,"&gt;="&amp;A5,Data!$B$2:$B$37,"&lt;"&amp;B5)</f>
        <v>2</v>
      </c>
      <c r="E5" s="7">
        <f t="shared" ref="E5:E10" si="0">D5/$C$2</f>
        <v>6.0606060606060608E-2</v>
      </c>
      <c r="F5" s="8">
        <f t="shared" ref="F5:F10" si="1">E5</f>
        <v>6.0606060606060608E-2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22.1" customHeight="1">
      <c r="A6" s="1">
        <v>5</v>
      </c>
      <c r="B6" s="1">
        <v>6</v>
      </c>
      <c r="C6" s="1" t="s">
        <v>24</v>
      </c>
      <c r="D6" s="6">
        <f>COUNTIFS(Data!$B$2:$B$37,"&gt;="&amp;A6,Data!$B$2:$B$37,"&lt;"&amp;B6)</f>
        <v>4</v>
      </c>
      <c r="E6" s="7">
        <f t="shared" si="0"/>
        <v>0.12121212121212122</v>
      </c>
      <c r="F6" s="8">
        <f t="shared" si="1"/>
        <v>0.12121212121212122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22.1" customHeight="1">
      <c r="A7" s="1">
        <v>6</v>
      </c>
      <c r="B7" s="1">
        <v>7</v>
      </c>
      <c r="C7" s="1" t="s">
        <v>25</v>
      </c>
      <c r="D7" s="6">
        <f>COUNTIFS(Data!$B$2:$B$37,"&gt;="&amp;A7,Data!$B$2:$B$37,"&lt;"&amp;B7)</f>
        <v>7</v>
      </c>
      <c r="E7" s="7">
        <f t="shared" si="0"/>
        <v>0.21212121212121213</v>
      </c>
      <c r="F7" s="8">
        <f t="shared" si="1"/>
        <v>0.21212121212121213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22.1" customHeight="1">
      <c r="A8" s="1">
        <v>7</v>
      </c>
      <c r="B8" s="1">
        <v>8</v>
      </c>
      <c r="C8" s="1" t="s">
        <v>26</v>
      </c>
      <c r="D8" s="6">
        <f>COUNTIFS(Data!$B$2:$B$37,"&gt;="&amp;A8,Data!$B$2:$B$37,"&lt;"&amp;B8)</f>
        <v>11</v>
      </c>
      <c r="E8" s="7">
        <f t="shared" si="0"/>
        <v>0.33333333333333331</v>
      </c>
      <c r="F8" s="8">
        <f t="shared" si="1"/>
        <v>0.33333333333333331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22.1" customHeight="1">
      <c r="A9" s="1">
        <v>8</v>
      </c>
      <c r="B9" s="1">
        <v>9</v>
      </c>
      <c r="C9" s="1" t="s">
        <v>27</v>
      </c>
      <c r="D9" s="6">
        <f>COUNTIFS(Data!$B$2:$B$37,"&gt;="&amp;A9,Data!$B$2:$B$37,"&lt;"&amp;B9)</f>
        <v>6</v>
      </c>
      <c r="E9" s="7">
        <f t="shared" si="0"/>
        <v>0.18181818181818182</v>
      </c>
      <c r="F9" s="8">
        <f t="shared" si="1"/>
        <v>0.18181818181818182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22.1" customHeight="1">
      <c r="A10" s="1">
        <v>9</v>
      </c>
      <c r="B10" s="1">
        <v>10</v>
      </c>
      <c r="C10" s="1" t="s">
        <v>28</v>
      </c>
      <c r="D10" s="6">
        <f>COUNTIFS(Data!$B$2:$B$37,"&gt;="&amp;A10,Data!$B$2:$B$37,"&lt;"&amp;B10)</f>
        <v>3</v>
      </c>
      <c r="E10" s="7">
        <f t="shared" si="0"/>
        <v>9.0909090909090912E-2</v>
      </c>
      <c r="F10" s="8">
        <f t="shared" si="1"/>
        <v>9.0909090909090912E-2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22.1" customHeight="1">
      <c r="A11" s="1"/>
      <c r="B11" s="1"/>
      <c r="C11" s="1"/>
      <c r="D11" s="1"/>
      <c r="E11" s="4"/>
      <c r="F11" s="5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22.1" customHeight="1">
      <c r="A12" s="1"/>
      <c r="B12" s="1"/>
      <c r="C12" s="9" t="s">
        <v>14</v>
      </c>
      <c r="D12" s="9">
        <f>SUM(D5:D10)</f>
        <v>33</v>
      </c>
      <c r="E12" s="10">
        <f>SUM(E5:E10)</f>
        <v>1</v>
      </c>
      <c r="F12" s="11">
        <f>E12</f>
        <v>1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22.1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22.1" customHeight="1">
      <c r="A14" s="12" t="s">
        <v>29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22.1" customHeight="1">
      <c r="A15" s="12" t="s">
        <v>30</v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22.1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22.1" customHeight="1">
      <c r="A17" s="12" t="s">
        <v>31</v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22.1" customHeight="1">
      <c r="A18" s="12" t="s">
        <v>32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22.1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22.1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22.1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22.1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22.1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ht="22.1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ht="22.1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ht="22.1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22.1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ht="22.1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ht="22.1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22.1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22.1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22.1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22.1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22.1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22.1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22.1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22.1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22.1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22.1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22.1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40"/>
  <sheetViews>
    <sheetView workbookViewId="0">
      <pane ySplit="1" topLeftCell="A2" activePane="bottomLeft" state="frozen"/>
      <selection pane="bottomLeft"/>
    </sheetView>
  </sheetViews>
  <sheetFormatPr defaultRowHeight="13.6"/>
  <cols>
    <col min="1" max="3" width="13" customWidth="1"/>
    <col min="4" max="4" width="19" customWidth="1"/>
    <col min="5" max="17" width="13" customWidth="1"/>
  </cols>
  <sheetData>
    <row r="1" spans="1:17" ht="36" customHeight="1">
      <c r="A1" s="3" t="s">
        <v>33</v>
      </c>
      <c r="B1" s="3" t="s">
        <v>34</v>
      </c>
      <c r="C1" s="3" t="s">
        <v>35</v>
      </c>
      <c r="D1" s="3" t="s">
        <v>36</v>
      </c>
      <c r="E1" s="3" t="s">
        <v>37</v>
      </c>
      <c r="F1" s="1"/>
      <c r="G1" s="1" t="s">
        <v>38</v>
      </c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2.1" customHeight="1">
      <c r="A2" s="1" t="s">
        <v>39</v>
      </c>
      <c r="B2" s="13">
        <v>6</v>
      </c>
      <c r="C2" s="14">
        <v>5</v>
      </c>
      <c r="D2" s="14" t="s">
        <v>40</v>
      </c>
      <c r="E2" s="14">
        <v>2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22.1" customHeight="1">
      <c r="A3" s="1" t="s">
        <v>41</v>
      </c>
      <c r="B3" s="13">
        <v>8</v>
      </c>
      <c r="C3" s="14">
        <v>9</v>
      </c>
      <c r="D3" s="14" t="s">
        <v>42</v>
      </c>
      <c r="E3" s="14">
        <v>4</v>
      </c>
      <c r="F3" s="1"/>
      <c r="G3" s="12" t="s">
        <v>43</v>
      </c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22.1" customHeight="1">
      <c r="A4" s="1" t="s">
        <v>44</v>
      </c>
      <c r="B4" s="13">
        <v>7</v>
      </c>
      <c r="C4" s="14">
        <v>8</v>
      </c>
      <c r="D4" s="14" t="s">
        <v>40</v>
      </c>
      <c r="E4" s="14">
        <v>3</v>
      </c>
      <c r="F4" s="1"/>
      <c r="G4" s="12" t="s">
        <v>45</v>
      </c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22.1" customHeight="1">
      <c r="A5" s="1" t="s">
        <v>46</v>
      </c>
      <c r="B5" s="13">
        <v>5</v>
      </c>
      <c r="C5" s="14">
        <v>6</v>
      </c>
      <c r="D5" s="14" t="s">
        <v>42</v>
      </c>
      <c r="E5" s="14">
        <v>2</v>
      </c>
      <c r="F5" s="1"/>
      <c r="G5" s="12" t="s">
        <v>47</v>
      </c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22.1" customHeight="1">
      <c r="A6" s="1" t="s">
        <v>48</v>
      </c>
      <c r="B6" s="13"/>
      <c r="C6" s="14">
        <v>7</v>
      </c>
      <c r="D6" s="14" t="s">
        <v>40</v>
      </c>
      <c r="E6" s="14">
        <v>3</v>
      </c>
      <c r="F6" s="1"/>
      <c r="G6" s="12" t="s">
        <v>49</v>
      </c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22.1" customHeight="1">
      <c r="A7" s="1" t="s">
        <v>50</v>
      </c>
      <c r="B7" s="13">
        <v>7</v>
      </c>
      <c r="C7" s="14">
        <v>0</v>
      </c>
      <c r="D7" s="14" t="s">
        <v>42</v>
      </c>
      <c r="E7" s="14">
        <v>1</v>
      </c>
      <c r="F7" s="1"/>
      <c r="G7" s="12" t="s">
        <v>51</v>
      </c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22.1" customHeight="1">
      <c r="A8" s="1" t="s">
        <v>52</v>
      </c>
      <c r="B8" s="13">
        <v>4.5</v>
      </c>
      <c r="C8" s="14">
        <v>2</v>
      </c>
      <c r="D8" s="14" t="s">
        <v>42</v>
      </c>
      <c r="E8" s="14">
        <v>1</v>
      </c>
      <c r="F8" s="1"/>
      <c r="G8" s="12" t="s">
        <v>53</v>
      </c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22.1" customHeight="1">
      <c r="A9" s="1" t="s">
        <v>54</v>
      </c>
      <c r="B9" s="13">
        <v>6.3</v>
      </c>
      <c r="C9" s="14">
        <v>7</v>
      </c>
      <c r="D9" s="14" t="s">
        <v>40</v>
      </c>
      <c r="E9" s="14">
        <v>3</v>
      </c>
      <c r="F9" s="1"/>
      <c r="G9" s="12" t="s">
        <v>55</v>
      </c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22.1" customHeight="1">
      <c r="A10" s="1" t="s">
        <v>56</v>
      </c>
      <c r="B10" s="13">
        <v>7.3</v>
      </c>
      <c r="C10" s="14">
        <v>9</v>
      </c>
      <c r="D10" s="14" t="s">
        <v>40</v>
      </c>
      <c r="E10" s="14">
        <v>4</v>
      </c>
      <c r="F10" s="1"/>
      <c r="G10" s="12" t="s">
        <v>57</v>
      </c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22.1" customHeight="1">
      <c r="A11" s="1" t="s">
        <v>58</v>
      </c>
      <c r="B11" s="13">
        <v>8.1</v>
      </c>
      <c r="C11" s="14">
        <v>4</v>
      </c>
      <c r="D11" s="14" t="s">
        <v>42</v>
      </c>
      <c r="E11" s="14">
        <v>2</v>
      </c>
      <c r="F11" s="1"/>
      <c r="G11" s="12" t="s">
        <v>59</v>
      </c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22.1" customHeight="1">
      <c r="A12" s="1" t="s">
        <v>60</v>
      </c>
      <c r="B12" s="13"/>
      <c r="C12" s="14">
        <v>7</v>
      </c>
      <c r="D12" s="14" t="s">
        <v>40</v>
      </c>
      <c r="E12" s="14">
        <v>3</v>
      </c>
      <c r="F12" s="1"/>
      <c r="G12" s="12" t="s">
        <v>61</v>
      </c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22.1" customHeight="1">
      <c r="A13" s="1" t="s">
        <v>62</v>
      </c>
      <c r="B13" s="13">
        <v>6</v>
      </c>
      <c r="C13" s="14">
        <v>10</v>
      </c>
      <c r="D13" s="14" t="s">
        <v>40</v>
      </c>
      <c r="E13" s="14">
        <v>2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22.1" customHeight="1">
      <c r="A14" s="1" t="s">
        <v>63</v>
      </c>
      <c r="B14" s="13">
        <v>7.1</v>
      </c>
      <c r="C14" s="14">
        <v>5</v>
      </c>
      <c r="D14" s="14" t="s">
        <v>42</v>
      </c>
      <c r="E14" s="14">
        <v>3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22.1" customHeight="1">
      <c r="A15" s="1" t="s">
        <v>64</v>
      </c>
      <c r="B15" s="13">
        <v>7.9</v>
      </c>
      <c r="C15" s="14">
        <v>8</v>
      </c>
      <c r="D15" s="14" t="s">
        <v>40</v>
      </c>
      <c r="E15" s="14">
        <v>1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22.1" customHeight="1">
      <c r="A16" s="1" t="s">
        <v>65</v>
      </c>
      <c r="B16" s="13">
        <v>9.1999999999999993</v>
      </c>
      <c r="C16" s="14">
        <v>11</v>
      </c>
      <c r="D16" s="14" t="s">
        <v>40</v>
      </c>
      <c r="E16" s="14">
        <v>3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22.1" customHeight="1">
      <c r="A17" s="1" t="s">
        <v>66</v>
      </c>
      <c r="B17" s="13">
        <v>5.5</v>
      </c>
      <c r="C17" s="14">
        <v>6</v>
      </c>
      <c r="D17" s="14" t="s">
        <v>42</v>
      </c>
      <c r="E17" s="14">
        <v>4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22.1" customHeight="1">
      <c r="A18" s="1" t="s">
        <v>67</v>
      </c>
      <c r="B18" s="13">
        <v>6.8</v>
      </c>
      <c r="C18" s="14">
        <v>8</v>
      </c>
      <c r="D18" s="14" t="s">
        <v>40</v>
      </c>
      <c r="E18" s="14">
        <v>2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22.1" customHeight="1">
      <c r="A19" s="1" t="s">
        <v>68</v>
      </c>
      <c r="B19" s="13">
        <v>7.5</v>
      </c>
      <c r="C19" s="14">
        <v>3</v>
      </c>
      <c r="D19" s="14" t="s">
        <v>40</v>
      </c>
      <c r="E19" s="14">
        <v>4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22.1" customHeight="1">
      <c r="A20" s="1" t="s">
        <v>69</v>
      </c>
      <c r="B20" s="13">
        <v>8.8000000000000007</v>
      </c>
      <c r="C20" s="14">
        <v>7</v>
      </c>
      <c r="D20" s="14" t="s">
        <v>42</v>
      </c>
      <c r="E20" s="14">
        <v>2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22.1" customHeight="1">
      <c r="A21" s="1" t="s">
        <v>70</v>
      </c>
      <c r="B21" s="13">
        <v>4.8</v>
      </c>
      <c r="C21" s="14">
        <v>9</v>
      </c>
      <c r="D21" s="14" t="s">
        <v>40</v>
      </c>
      <c r="E21" s="14">
        <v>3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22.1" customHeight="1">
      <c r="A22" s="1" t="s">
        <v>71</v>
      </c>
      <c r="B22" s="13">
        <v>6.5</v>
      </c>
      <c r="C22" s="14">
        <v>5</v>
      </c>
      <c r="D22" s="14" t="s">
        <v>40</v>
      </c>
      <c r="E22" s="14">
        <v>1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22.1" customHeight="1">
      <c r="A23" s="1" t="s">
        <v>72</v>
      </c>
      <c r="B23" s="13">
        <v>7.4</v>
      </c>
      <c r="C23" s="14">
        <v>7</v>
      </c>
      <c r="D23" s="14" t="s">
        <v>42</v>
      </c>
      <c r="E23" s="14">
        <v>3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ht="22.1" customHeight="1">
      <c r="A24" s="1" t="s">
        <v>73</v>
      </c>
      <c r="B24" s="13">
        <v>8.3000000000000007</v>
      </c>
      <c r="C24" s="14">
        <v>10</v>
      </c>
      <c r="D24" s="14" t="s">
        <v>40</v>
      </c>
      <c r="E24" s="14">
        <v>4</v>
      </c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ht="22.1" customHeight="1">
      <c r="A25" s="1" t="s">
        <v>74</v>
      </c>
      <c r="B25" s="13"/>
      <c r="C25" s="14">
        <v>6</v>
      </c>
      <c r="D25" s="14" t="s">
        <v>40</v>
      </c>
      <c r="E25" s="14">
        <v>3</v>
      </c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ht="22.1" customHeight="1">
      <c r="A26" s="1" t="s">
        <v>75</v>
      </c>
      <c r="B26" s="13">
        <v>6.2</v>
      </c>
      <c r="C26" s="14">
        <v>8</v>
      </c>
      <c r="D26" s="14" t="s">
        <v>42</v>
      </c>
      <c r="E26" s="14">
        <v>4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22.1" customHeight="1">
      <c r="A27" s="1" t="s">
        <v>76</v>
      </c>
      <c r="B27" s="13">
        <v>7.2</v>
      </c>
      <c r="C27" s="14">
        <v>12</v>
      </c>
      <c r="D27" s="14" t="s">
        <v>40</v>
      </c>
      <c r="E27" s="14">
        <v>2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ht="22.1" customHeight="1">
      <c r="A28" s="1" t="s">
        <v>77</v>
      </c>
      <c r="B28" s="13">
        <v>8</v>
      </c>
      <c r="C28" s="14">
        <v>6</v>
      </c>
      <c r="D28" s="14" t="s">
        <v>40</v>
      </c>
      <c r="E28" s="14">
        <v>3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ht="22.1" customHeight="1">
      <c r="A29" s="1" t="s">
        <v>78</v>
      </c>
      <c r="B29" s="13">
        <v>9.5</v>
      </c>
      <c r="C29" s="14">
        <v>9</v>
      </c>
      <c r="D29" s="14" t="s">
        <v>42</v>
      </c>
      <c r="E29" s="14">
        <v>2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22.1" customHeight="1">
      <c r="A30" s="1" t="s">
        <v>79</v>
      </c>
      <c r="B30" s="13">
        <v>5.8</v>
      </c>
      <c r="C30" s="14">
        <v>4</v>
      </c>
      <c r="D30" s="14" t="s">
        <v>40</v>
      </c>
      <c r="E30" s="14">
        <v>3</v>
      </c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22.1" customHeight="1">
      <c r="A31" s="1" t="s">
        <v>80</v>
      </c>
      <c r="B31" s="13">
        <v>7</v>
      </c>
      <c r="C31" s="14">
        <v>7</v>
      </c>
      <c r="D31" s="14" t="s">
        <v>40</v>
      </c>
      <c r="E31" s="14">
        <v>4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22.1" customHeight="1">
      <c r="A32" s="1" t="s">
        <v>81</v>
      </c>
      <c r="B32" s="13">
        <v>7.7</v>
      </c>
      <c r="C32" s="14">
        <v>10</v>
      </c>
      <c r="D32" s="14" t="s">
        <v>42</v>
      </c>
      <c r="E32" s="14">
        <v>3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22.1" customHeight="1">
      <c r="A33" s="1" t="s">
        <v>82</v>
      </c>
      <c r="B33" s="13">
        <v>9</v>
      </c>
      <c r="C33" s="14">
        <v>5</v>
      </c>
      <c r="D33" s="14" t="s">
        <v>40</v>
      </c>
      <c r="E33" s="14">
        <v>4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22.1" customHeight="1">
      <c r="A34" s="1" t="s">
        <v>83</v>
      </c>
      <c r="B34" s="13">
        <v>5.2</v>
      </c>
      <c r="C34" s="14">
        <v>8</v>
      </c>
      <c r="D34" s="14" t="s">
        <v>40</v>
      </c>
      <c r="E34" s="14">
        <v>2</v>
      </c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22.1" customHeight="1">
      <c r="A35" s="1" t="s">
        <v>84</v>
      </c>
      <c r="B35" s="13">
        <v>6.5</v>
      </c>
      <c r="C35" s="14">
        <v>11</v>
      </c>
      <c r="D35" s="14" t="s">
        <v>42</v>
      </c>
      <c r="E35" s="14">
        <v>3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22.1" customHeight="1">
      <c r="A36" s="1" t="s">
        <v>85</v>
      </c>
      <c r="B36" s="13">
        <v>7.5</v>
      </c>
      <c r="C36" s="14">
        <v>6</v>
      </c>
      <c r="D36" s="14" t="s">
        <v>40</v>
      </c>
      <c r="E36" s="14">
        <v>2</v>
      </c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22.1" customHeight="1">
      <c r="A37" s="1" t="s">
        <v>86</v>
      </c>
      <c r="B37" s="13">
        <v>8.5</v>
      </c>
      <c r="C37" s="14">
        <v>8</v>
      </c>
      <c r="D37" s="14" t="s">
        <v>40</v>
      </c>
      <c r="E37" s="14">
        <v>3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22.1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22.1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22.1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</sheetData>
  <dataValidations count="2">
    <dataValidation type="whole" sqref="E2:E37" xr:uid="{00000000-0002-0000-0200-000000000000}">
      <formula1>1</formula1>
      <formula2>4</formula2>
    </dataValidation>
    <dataValidation type="whole" sqref="C2:C37" xr:uid="{00000000-0002-0000-0200-000001000000}">
      <formula1>0</formula1>
      <formula2>12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3</vt:i4>
      </vt:variant>
    </vt:vector>
  </HeadingPairs>
  <TitlesOfParts>
    <vt:vector size="3" baseType="lpstr">
      <vt:lpstr>Cetnosti</vt:lpstr>
      <vt:lpstr>Histogram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Karel Rečka</cp:lastModifiedBy>
  <dcterms:modified xsi:type="dcterms:W3CDTF">2026-09-28T14:09:19Z</dcterms:modified>
</cp:coreProperties>
</file>