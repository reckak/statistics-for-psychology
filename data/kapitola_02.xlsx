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BEA1F8D1-3BBE-49ED-9F4A-02E7D95D2377}" xr6:coauthVersionLast="47" xr6:coauthVersionMax="47" xr10:uidLastSave="{00000000-0000-0000-0000-000000000000}"/>
  <bookViews>
    <workbookView xWindow="-109" yWindow="-109" windowWidth="34995" windowHeight="19060" xr2:uid="{C54D4CCB-121D-459E-97E4-06E46F5BB724}"/>
  </bookViews>
  <sheets>
    <sheet name="Prehled" sheetId="1" r:id="rId1"/>
    <sheet name="Cetnosti" sheetId="2" r:id="rId2"/>
    <sheet name="Histogram" sheetId="3" r:id="rId3"/>
    <sheet name="Data" sheetId="4" r:id="rId4"/>
    <sheet name="Sest_osob" sheetId="5" r:id="rId5"/>
    <sheet name="Strategie" sheetId="6" r:id="rId6"/>
    <sheet name="Tvary" sheetId="7" r:id="rId7"/>
    <sheet name="Podlaha_strop" sheetId="8" r:id="rId8"/>
    <sheet name="Stonek" sheetId="9" r:id="rId9"/>
    <sheet name="U01_odpocatost" sheetId="10" r:id="rId10"/>
    <sheet name="U03_chybeni" sheetId="11" r:id="rId11"/>
    <sheet name="U03_ruseni" sheetId="12" r:id="rId12"/>
    <sheet name="U04_chyby" sheetId="13" r:id="rId13"/>
    <sheet name="U05_spanek" sheetId="14" r:id="rId14"/>
    <sheet name="U08_stonek" sheetId="15" r:id="rId15"/>
    <sheet name="Podpora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3" l="1"/>
  <c r="E6" i="3" s="1"/>
  <c r="F6" i="3" s="1"/>
  <c r="D7" i="3"/>
  <c r="E7" i="3" s="1"/>
  <c r="F7" i="3" s="1"/>
  <c r="D8" i="3"/>
  <c r="E8" i="3" s="1"/>
  <c r="F8" i="3" s="1"/>
  <c r="D9" i="3"/>
  <c r="E9" i="3" s="1"/>
  <c r="F9" i="3" s="1"/>
  <c r="D10" i="3"/>
  <c r="E10" i="3" s="1"/>
  <c r="F10" i="3" s="1"/>
  <c r="D5" i="3"/>
  <c r="D12" i="3" s="1"/>
  <c r="C2" i="3"/>
  <c r="C6" i="2"/>
  <c r="D6" i="2" s="1"/>
  <c r="E6" i="2" s="1"/>
  <c r="C7" i="2"/>
  <c r="C8" i="2"/>
  <c r="D8" i="2" s="1"/>
  <c r="E8" i="2" s="1"/>
  <c r="C5" i="2"/>
  <c r="C2" i="2"/>
  <c r="C10" i="2" l="1"/>
  <c r="D7" i="2"/>
  <c r="E7" i="2" s="1"/>
  <c r="D5" i="2"/>
  <c r="F7" i="2"/>
  <c r="G7" i="2" s="1"/>
  <c r="H7" i="2" s="1"/>
  <c r="E5" i="3"/>
  <c r="F8" i="2"/>
  <c r="G8" i="2" s="1"/>
  <c r="H8" i="2" s="1"/>
  <c r="F6" i="2"/>
  <c r="G6" i="2" s="1"/>
  <c r="H6" i="2" s="1"/>
  <c r="F5" i="2"/>
  <c r="G5" i="2" s="1"/>
  <c r="H5" i="2" s="1"/>
  <c r="E12" i="3" l="1"/>
  <c r="F12" i="3" s="1"/>
  <c r="F5" i="3"/>
  <c r="E5" i="2"/>
  <c r="D10" i="2"/>
  <c r="E10" i="2" s="1"/>
</calcChain>
</file>

<file path=xl/sharedStrings.xml><?xml version="1.0" encoding="utf-8"?>
<sst xmlns="http://schemas.openxmlformats.org/spreadsheetml/2006/main" count="271" uniqueCount="179">
  <si>
    <t>Odpočatost před úlohou</t>
  </si>
  <si>
    <t>Platné odpovědi n</t>
  </si>
  <si>
    <t>Kód</t>
  </si>
  <si>
    <t>Odpočatost</t>
  </si>
  <si>
    <t>Četnost</t>
  </si>
  <si>
    <t>Podíl</t>
  </si>
  <si>
    <t>Procenta</t>
  </si>
  <si>
    <t>Kumul. počet</t>
  </si>
  <si>
    <t>Kumul. podíl</t>
  </si>
  <si>
    <t>Kumul. %</t>
  </si>
  <si>
    <t>Vůbec</t>
  </si>
  <si>
    <t>Trochu</t>
  </si>
  <si>
    <t>Dost</t>
  </si>
  <si>
    <t>Zcela</t>
  </si>
  <si>
    <t>Celkem</t>
  </si>
  <si>
    <t>Počítáme 36 modelových účastníků. Odpočatost má čtyři uspořádané kategorie.</t>
  </si>
  <si>
    <t>Podíly se počítají z nezkrácených hodnot. Kumulativní sloupce už nesčítáme.</t>
  </si>
  <si>
    <t>Zkuste změnit Data!E2 z 2 na 3 a sledujte tabulku i graf. Potom obnovte 2.</t>
  </si>
  <si>
    <t>Doba spánku: intervalové četnosti</t>
  </si>
  <si>
    <t>Platné údaje n</t>
  </si>
  <si>
    <t>Dolní mez</t>
  </si>
  <si>
    <t>Horní mez</t>
  </si>
  <si>
    <t>Interval (h)</t>
  </si>
  <si>
    <t>&gt; 4 až 5</t>
  </si>
  <si>
    <t>&gt; 5 až 6</t>
  </si>
  <si>
    <t>&gt; 6 až 7</t>
  </si>
  <si>
    <t>&gt; 7 až 8</t>
  </si>
  <si>
    <t>&gt; 8 až 9</t>
  </si>
  <si>
    <t>&gt; 9 až 10</t>
  </si>
  <si>
    <t>Dolní mez nepatří do intervalu, horní ano. Intervaly mají šířku 1 hodina.</t>
  </si>
  <si>
    <t>Tři z 36 účastníků spánek neuvedli. Prázdná buňka neznamená 0 hodin.</t>
  </si>
  <si>
    <t>Zkuste změnit Data!B2 z 6 na 7. Po ověření přesunu obnovte hodnotu 6.</t>
  </si>
  <si>
    <t>Při rozšíření dat upravte oblasti ve vzorcích a pokrytí intervaly.</t>
  </si>
  <si>
    <t>id</t>
  </si>
  <si>
    <t>spanek_h</t>
  </si>
  <si>
    <t>slova</t>
  </si>
  <si>
    <t>cast_dne</t>
  </si>
  <si>
    <t>odpocatost</t>
  </si>
  <si>
    <t>P01</t>
  </si>
  <si>
    <t>dopoledne</t>
  </si>
  <si>
    <t>P02</t>
  </si>
  <si>
    <t>odpoledne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</si>
  <si>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</si>
  <si>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</si>
  <si>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</si>
  <si>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</si>
  <si>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</si>
  <si>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</si>
  <si>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</si>
  <si>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</si>
  <si>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</si>
  <si>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</si>
  <si>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</si>
  <si>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</si>
  <si>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</si>
  <si>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</si>
  <si>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</si>
  <si>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</si>
  <si>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</si>
  <si>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</si>
  <si>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</si>
  <si>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</si>
  <si>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</si>
  <si>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</si>
  <si>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</si>
  <si>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</si>
  <si>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</si>
  <si>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</si>
  <si>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</si>
  <si>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</si>
  <si>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</si>
  <si>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</si>
  <si>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</si>
  <si>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</si>
  <si>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</si>
  <si>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</si>
  <si>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Modelová data vytvořená pro výuku; nejde o skutečný výzkum.</t>
  </si>
  <si>
    <t>Jeden řádek = jeden účastník při jedné návštěvě. Všichni plní úlohu v tichu.</t>
  </si>
  <si>
    <t>spanek_h: odhad skutečného spánku předchozí noci v hodinách (0 až 24).</t>
  </si>
  <si>
    <t>Prázdná buňka znamená neuvedený spánek (P05, P11, P24).</t>
  </si>
  <si>
    <t>slova: počet různých správně vybavených slov z 12; jedna minuta na čtení</t>
  </si>
  <si>
    <t>a jedna na vybavení. Nula je platný výsledek, nikoli chybějící údaj.</t>
  </si>
  <si>
    <t>cast_dne: dopoledne před 12:00, odpoledne od 12:00.</t>
  </si>
  <si>
    <t>odpocatost: Jak odpočatě se právě cítíte? Odpověď před úlohou.</t>
  </si>
  <si>
    <t>1 = vůbec, 2 = trochu, 3 = dost, 4 = zcela.</t>
  </si>
  <si>
    <t>Změny čísel v původních 36 řádcích se promítnou do tabulek a grafů.</t>
  </si>
  <si>
    <t>Při přidání dalších řádků je potřeba rozšířit oblasti ve vzorcích.</t>
  </si>
  <si>
    <t>Použití a původ</t>
  </si>
  <si>
    <t>Úvodní příklad, jmenovatel procent</t>
  </si>
  <si>
    <t>Autorské ilustrační údaje. Nejde o skutečný výzkum.</t>
  </si>
  <si>
    <t>Strategie</t>
  </si>
  <si>
    <t>Procvičování</t>
  </si>
  <si>
    <t>Čtení</t>
  </si>
  <si>
    <t>Vysvětlování</t>
  </si>
  <si>
    <t>Výsečový a sloupcový graf</t>
  </si>
  <si>
    <t>Hodnota</t>
  </si>
  <si>
    <t>Souměrnost</t>
  </si>
  <si>
    <t>Šikmost doprava</t>
  </si>
  <si>
    <t>Šikmost doleva</t>
  </si>
  <si>
    <t>Dva vrcholy</t>
  </si>
  <si>
    <t>Rovnoměrnost</t>
  </si>
  <si>
    <t>Odlehlost</t>
  </si>
  <si>
    <t>Obrázek: šest tvarů rozdělení</t>
  </si>
  <si>
    <t>Autorské schematické četnosti. Sloupce představují šest různých rozdělení, nikoli spárovaná měření lidí.</t>
  </si>
  <si>
    <t>Počet správných odpovědí</t>
  </si>
  <si>
    <t>Podlaha: četnost</t>
  </si>
  <si>
    <t>Strop: četnost</t>
  </si>
  <si>
    <t>Obrázek: meze nástroje</t>
  </si>
  <si>
    <t>Doba (s)</t>
  </si>
  <si>
    <t>Výklad: stonek a list</t>
  </si>
  <si>
    <t>Odpočatost (kód 1–4)</t>
  </si>
  <si>
    <t>Cvičení 1 a 2</t>
  </si>
  <si>
    <t>Autorské údaje. 1 vůbec, 2 trochu, 3 dost, 4 zcela.</t>
  </si>
  <si>
    <t>Odpověď</t>
  </si>
  <si>
    <t>Ano</t>
  </si>
  <si>
    <t>Ne</t>
  </si>
  <si>
    <t>Chybí</t>
  </si>
  <si>
    <t>Cvičení 3a</t>
  </si>
  <si>
    <t>Zadáno 25 oslovených; 20 odpovědělo. Četnosti, nikoli jednotliví lidé.</t>
  </si>
  <si>
    <t>Možnost</t>
  </si>
  <si>
    <t>Počet označení</t>
  </si>
  <si>
    <t>Počet odpovídajících</t>
  </si>
  <si>
    <t>Hluk</t>
  </si>
  <si>
    <t>Telefon</t>
  </si>
  <si>
    <t>Únava</t>
  </si>
  <si>
    <t>Cvičení 3b</t>
  </si>
  <si>
    <t>Bylo možné označit více možností. Překryvy mezi lidmi nejsou zadány.</t>
  </si>
  <si>
    <t>Počet chyb</t>
  </si>
  <si>
    <t>Cvičení 4</t>
  </si>
  <si>
    <t>Spánek (h)</t>
  </si>
  <si>
    <t>Cvičení 5</t>
  </si>
  <si>
    <t>Intervaly: více než 4 až 5 včetně, více než 5 až 6 včetně, více než 6 až 7 včetně, více než 7 až 8 včetně.</t>
  </si>
  <si>
    <t>Stonek</t>
  </si>
  <si>
    <t>Listy</t>
  </si>
  <si>
    <t>1 3 3 8</t>
  </si>
  <si>
    <t>0 5</t>
  </si>
  <si>
    <t>2</t>
  </si>
  <si>
    <t>Cvičení 8: zadání k rekonstrukci</t>
  </si>
  <si>
    <t>Klíč: 2 | 3 znamená 23 sekund. Sloupec Listy je záměrně textový zápis zadání, nikoli hotové řešení.</t>
  </si>
  <si>
    <t>Skupina</t>
  </si>
  <si>
    <t>A</t>
  </si>
  <si>
    <t>B</t>
  </si>
  <si>
    <t>Zavádějící graf; cvičení 9</t>
  </si>
  <si>
    <t>Data ke kapitole 2</t>
  </si>
  <si>
    <t>Začněte vstupy. Žluté buňky obsahují data; modré buňky na výpočtových listech vzorce.</t>
  </si>
  <si>
    <t>Zadání a vysvětlení jsou v kapitole. Řešení otevírejte až po vlastním pokusu.</t>
  </si>
  <si>
    <t>Slovní úlohy bez konkrétních pozorování nevyžadují vlastní datový list.</t>
  </si>
  <si>
    <t>Hladké modelové křivky jsou modely, nikoli další soubory naměřených hodnot.</t>
  </si>
  <si>
    <t>List</t>
  </si>
  <si>
    <t>Oblast vstupů / tabulky</t>
  </si>
  <si>
    <t>Příklad nebo cvičení</t>
  </si>
  <si>
    <t>Sest_osob</t>
  </si>
  <si>
    <t>A2:E7</t>
  </si>
  <si>
    <t>A2:B4</t>
  </si>
  <si>
    <t>Tvary</t>
  </si>
  <si>
    <t>A2:G10</t>
  </si>
  <si>
    <t>Podlaha_strop</t>
  </si>
  <si>
    <t>A2:C14</t>
  </si>
  <si>
    <t>A2:A9</t>
  </si>
  <si>
    <t>U01_odpocatost</t>
  </si>
  <si>
    <t>A2:A13</t>
  </si>
  <si>
    <t>U03_chybeni</t>
  </si>
  <si>
    <t>U03_ruseni</t>
  </si>
  <si>
    <t>A2:C4</t>
  </si>
  <si>
    <t>U04_chyby</t>
  </si>
  <si>
    <t>A2:A11</t>
  </si>
  <si>
    <t>U05_spanek</t>
  </si>
  <si>
    <t>U08_stonek</t>
  </si>
  <si>
    <t>Podpora</t>
  </si>
  <si>
    <t>A2:C3</t>
  </si>
  <si>
    <t>Data</t>
  </si>
  <si>
    <t>A2:E37</t>
  </si>
  <si>
    <t>36 osob; výklad a cvičení 10</t>
  </si>
  <si>
    <t>Cetnosti</t>
  </si>
  <si>
    <t>A4:H8</t>
  </si>
  <si>
    <t>Hotové výpočty a graf odpočatosti</t>
  </si>
  <si>
    <t>Histogram</t>
  </si>
  <si>
    <t>A4:E10</t>
  </si>
  <si>
    <t>Hotové intervalové četnosti a 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</si>
</sst>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rgb="FF223744"/>
      <name val="Arial"/>
      <family val="2"/>
      <charset val="238"/>
    </font>
    <font>
      <b/>
      <sz val="11"/>
      <color rgb="FF223744"/>
      <name val="Arial"/>
      <family val="2"/>
      <charset val="238"/>
    </font>
    <font>
      <b/>
      <sz val="15"/>
      <color rgb="FF223744"/>
      <name val="Arial"/>
      <family val="2"/>
      <charset val="238"/>
    </font>
    <font>
      <b/>
      <sz val="11"/>
      <color rgb="FFFFFFFF"/>
      <name val="Arial"/>
      <family val="2"/>
      <charset val="238"/>
    </font>
    <font>
      <i/>
      <sz val="10"/>
      <color rgb="FF526775"/>
      <name val="Arial"/>
      <family val="2"/>
      <charset val="238"/>
    </font>
    <font>
      <sz val="11"/>
      <color rgb="FF526775"/>
      <name val="Arial"/>
      <family val="2"/>
      <charset val="238"/>
    </font>
    <font>
      <b/>
      <sz val="16"/>
      <color rgb="FF223744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234F62"/>
        <bgColor indexed="64"/>
      </patternFill>
    </fill>
    <fill>
      <patternFill patternType="solid">
        <fgColor rgb="FFEFF6FA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1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Alignment="1">
      <alignment vertical="center" wrapText="1"/>
    </xf>
    <xf numFmtId="0" fontId="4" fillId="2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5" fillId="0" borderId="0" xfId="0" applyNumberFormat="1" applyFont="1" applyAlignment="1">
      <alignment vertical="center"/>
    </xf>
    <xf numFmtId="166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NumberFormat="1" applyFont="1" applyFill="1" applyAlignment="1">
      <alignment vertical="center"/>
    </xf>
    <xf numFmtId="0" fontId="1" fillId="5" borderId="0" xfId="0" applyNumberFormat="1" applyFont="1" applyFill="1" applyAlignment="1">
      <alignment vertical="center" wrapText="1"/>
    </xf>
    <xf numFmtId="0" fontId="6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cs-CZ"/>
              <a:t>Odpočatost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Četnost</c:v>
          </c:tx>
          <c:spPr>
            <a:solidFill>
              <a:srgbClr val="267888"/>
            </a:solidFill>
          </c:spPr>
          <c:invertIfNegative val="0"/>
          <c:cat>
            <c:strRef>
              <c:f>Cetnosti!$B$5:$B$8</c:f>
              <c:strCache>
                <c:ptCount val="4"/>
                <c:pt idx="0">
                  <c:v>Vůbec</c:v>
                </c:pt>
                <c:pt idx="1">
                  <c:v>Trochu</c:v>
                </c:pt>
                <c:pt idx="2">
                  <c:v>Dost</c:v>
                </c:pt>
                <c:pt idx="3">
                  <c:v>Zcela</c:v>
                </c:pt>
              </c:strCache>
            </c:strRef>
          </c:cat>
          <c:val>
            <c:numRef>
              <c:f>Cetnosti!$C$5:$C$8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14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9-4484-A970-ED8D4541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3916080"/>
        <c:axId val="1636152560"/>
      </c:barChart>
      <c:catAx>
        <c:axId val="132391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Odpočatost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636152560"/>
        <c:crosses val="autoZero"/>
        <c:auto val="1"/>
        <c:lblAlgn val="ctr"/>
        <c:lblOffset val="100"/>
        <c:noMultiLvlLbl val="0"/>
      </c:catAx>
      <c:valAx>
        <c:axId val="163615256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Počet účastníků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low"/>
        <c:crossAx val="13239160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Arial"/>
          <a:ea typeface="Arial"/>
          <a:cs typeface="Arial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cs-CZ"/>
              <a:t>Doba spánku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Četnost</c:v>
          </c:tx>
          <c:spPr>
            <a:solidFill>
              <a:srgbClr val="267888"/>
            </a:solidFill>
          </c:spPr>
          <c:invertIfNegative val="0"/>
          <c:cat>
            <c:strRef>
              <c:f>Histogram!$C$5:$C$10</c:f>
              <c:strCache>
                <c:ptCount val="6"/>
                <c:pt idx="0">
                  <c:v>&gt; 4 až 5</c:v>
                </c:pt>
                <c:pt idx="1">
                  <c:v>&gt; 5 až 6</c:v>
                </c:pt>
                <c:pt idx="2">
                  <c:v>&gt; 6 až 7</c:v>
                </c:pt>
                <c:pt idx="3">
                  <c:v>&gt; 7 až 8</c:v>
                </c:pt>
                <c:pt idx="4">
                  <c:v>&gt; 8 až 9</c:v>
                </c:pt>
                <c:pt idx="5">
                  <c:v>&gt; 9 až 10</c:v>
                </c:pt>
              </c:strCache>
            </c:strRef>
          </c:cat>
          <c:val>
            <c:numRef>
              <c:f>Histogram!$D$5:$D$10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D-4D10-BA9C-E92FC05DB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23913760"/>
        <c:axId val="1636155920"/>
      </c:barChart>
      <c:catAx>
        <c:axId val="132391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Doba spánku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636155920"/>
        <c:crosses val="autoZero"/>
        <c:auto val="1"/>
        <c:lblAlgn val="ctr"/>
        <c:lblOffset val="100"/>
        <c:noMultiLvlLbl val="0"/>
      </c:catAx>
      <c:valAx>
        <c:axId val="16361559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Počet účastníků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low"/>
        <c:crossAx val="1323913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Arial"/>
          <a:ea typeface="Arial"/>
          <a:cs typeface="Arial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6B0248A-B727-12AA-2FF0-F94893E0A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C19CAA1-66CF-089F-5764-F42402F70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CEAF-5F8D-44D4-8DE2-69D972866C1C}">
  <dimension ref="A1:C25"/>
  <sheetViews>
    <sheetView showGridLines="0" tabSelected="1" workbookViewId="0">
      <pane ySplit="7" topLeftCell="A8" activePane="bottomLeft" state="frozenSplit"/>
      <selection pane="bottomLeft" sqref="A1:C1"/>
    </sheetView>
  </sheetViews>
  <sheetFormatPr defaultRowHeight="14.3" x14ac:dyDescent="0.25"/>
  <cols>
    <col min="1" max="2" width="25.625" customWidth="1"/>
    <col min="3" max="3" width="70.625" customWidth="1"/>
  </cols>
  <sheetData>
    <row r="1" spans="1:3" ht="30.1" customHeight="1" x14ac:dyDescent="0.25">
      <c r="A1" s="26" t="s">
        <v>143</v>
      </c>
      <c r="B1" s="24"/>
      <c r="C1" s="24"/>
    </row>
    <row r="2" spans="1:3" ht="30.1" customHeight="1" x14ac:dyDescent="0.25">
      <c r="A2" s="1"/>
      <c r="B2" s="1"/>
      <c r="C2" s="1"/>
    </row>
    <row r="3" spans="1:3" ht="30.1" customHeight="1" x14ac:dyDescent="0.25">
      <c r="A3" s="25" t="s">
        <v>144</v>
      </c>
      <c r="B3" s="24"/>
      <c r="C3" s="24"/>
    </row>
    <row r="4" spans="1:3" ht="30.1" customHeight="1" x14ac:dyDescent="0.25">
      <c r="A4" s="25" t="s">
        <v>145</v>
      </c>
      <c r="B4" s="24"/>
      <c r="C4" s="24"/>
    </row>
    <row r="5" spans="1:3" ht="30.1" customHeight="1" x14ac:dyDescent="0.25">
      <c r="A5" s="25" t="s">
        <v>146</v>
      </c>
      <c r="B5" s="24"/>
      <c r="C5" s="24"/>
    </row>
    <row r="6" spans="1:3" ht="30.1" customHeight="1" x14ac:dyDescent="0.25">
      <c r="A6" s="25" t="s">
        <v>147</v>
      </c>
      <c r="B6" s="24"/>
      <c r="C6" s="24"/>
    </row>
    <row r="7" spans="1:3" ht="30.1" customHeight="1" x14ac:dyDescent="0.25">
      <c r="A7" s="5" t="s">
        <v>148</v>
      </c>
      <c r="B7" s="5" t="s">
        <v>149</v>
      </c>
      <c r="C7" s="5" t="s">
        <v>150</v>
      </c>
    </row>
    <row r="8" spans="1:3" ht="30.1" customHeight="1" x14ac:dyDescent="0.25">
      <c r="A8" s="2" t="s">
        <v>151</v>
      </c>
      <c r="B8" s="2" t="s">
        <v>152</v>
      </c>
      <c r="C8" s="2" t="s">
        <v>88</v>
      </c>
    </row>
    <row r="9" spans="1:3" ht="30.1" customHeight="1" x14ac:dyDescent="0.25">
      <c r="A9" s="2" t="s">
        <v>90</v>
      </c>
      <c r="B9" s="2" t="s">
        <v>153</v>
      </c>
      <c r="C9" s="2" t="s">
        <v>94</v>
      </c>
    </row>
    <row r="10" spans="1:3" ht="30.1" customHeight="1" x14ac:dyDescent="0.25">
      <c r="A10" s="2" t="s">
        <v>154</v>
      </c>
      <c r="B10" s="2" t="s">
        <v>155</v>
      </c>
      <c r="C10" s="2" t="s">
        <v>102</v>
      </c>
    </row>
    <row r="11" spans="1:3" ht="30.1" customHeight="1" x14ac:dyDescent="0.25">
      <c r="A11" s="2" t="s">
        <v>156</v>
      </c>
      <c r="B11" s="2" t="s">
        <v>157</v>
      </c>
      <c r="C11" s="2" t="s">
        <v>107</v>
      </c>
    </row>
    <row r="12" spans="1:3" ht="30.1" customHeight="1" x14ac:dyDescent="0.25">
      <c r="A12" s="2" t="s">
        <v>132</v>
      </c>
      <c r="B12" s="2" t="s">
        <v>158</v>
      </c>
      <c r="C12" s="2" t="s">
        <v>109</v>
      </c>
    </row>
    <row r="13" spans="1:3" ht="30.1" customHeight="1" x14ac:dyDescent="0.25">
      <c r="A13" s="2" t="s">
        <v>159</v>
      </c>
      <c r="B13" s="2" t="s">
        <v>160</v>
      </c>
      <c r="C13" s="2" t="s">
        <v>111</v>
      </c>
    </row>
    <row r="14" spans="1:3" ht="30.1" customHeight="1" x14ac:dyDescent="0.25">
      <c r="A14" s="2" t="s">
        <v>161</v>
      </c>
      <c r="B14" s="2" t="s">
        <v>153</v>
      </c>
      <c r="C14" s="2" t="s">
        <v>117</v>
      </c>
    </row>
    <row r="15" spans="1:3" ht="30.1" customHeight="1" x14ac:dyDescent="0.25">
      <c r="A15" s="2" t="s">
        <v>162</v>
      </c>
      <c r="B15" s="2" t="s">
        <v>163</v>
      </c>
      <c r="C15" s="2" t="s">
        <v>125</v>
      </c>
    </row>
    <row r="16" spans="1:3" ht="30.1" customHeight="1" x14ac:dyDescent="0.25">
      <c r="A16" s="2" t="s">
        <v>164</v>
      </c>
      <c r="B16" s="2" t="s">
        <v>165</v>
      </c>
      <c r="C16" s="2" t="s">
        <v>128</v>
      </c>
    </row>
    <row r="17" spans="1:3" ht="30.1" customHeight="1" x14ac:dyDescent="0.25">
      <c r="A17" s="2" t="s">
        <v>166</v>
      </c>
      <c r="B17" s="2" t="s">
        <v>158</v>
      </c>
      <c r="C17" s="2" t="s">
        <v>130</v>
      </c>
    </row>
    <row r="18" spans="1:3" ht="30.1" customHeight="1" x14ac:dyDescent="0.25">
      <c r="A18" s="2" t="s">
        <v>167</v>
      </c>
      <c r="B18" s="2" t="s">
        <v>153</v>
      </c>
      <c r="C18" s="2" t="s">
        <v>137</v>
      </c>
    </row>
    <row r="19" spans="1:3" ht="30.1" customHeight="1" x14ac:dyDescent="0.25">
      <c r="A19" s="2" t="s">
        <v>168</v>
      </c>
      <c r="B19" s="2" t="s">
        <v>169</v>
      </c>
      <c r="C19" s="2" t="s">
        <v>142</v>
      </c>
    </row>
    <row r="20" spans="1:3" ht="30.1" customHeight="1" x14ac:dyDescent="0.25">
      <c r="A20" s="2" t="s">
        <v>170</v>
      </c>
      <c r="B20" s="2" t="s">
        <v>171</v>
      </c>
      <c r="C20" s="2" t="s">
        <v>172</v>
      </c>
    </row>
    <row r="21" spans="1:3" ht="30.1" customHeight="1" x14ac:dyDescent="0.25">
      <c r="A21" s="2" t="s">
        <v>173</v>
      </c>
      <c r="B21" s="2" t="s">
        <v>174</v>
      </c>
      <c r="C21" s="2" t="s">
        <v>175</v>
      </c>
    </row>
    <row r="22" spans="1:3" ht="30.1" customHeight="1" x14ac:dyDescent="0.25">
      <c r="A22" s="2" t="s">
        <v>176</v>
      </c>
      <c r="B22" s="2" t="s">
        <v>177</v>
      </c>
      <c r="C22" s="2" t="s">
        <v>178</v>
      </c>
    </row>
    <row r="23" spans="1:3" ht="30.1" customHeight="1" x14ac:dyDescent="0.25">
      <c r="A23" s="1"/>
      <c r="B23" s="1"/>
      <c r="C23" s="1"/>
    </row>
    <row r="24" spans="1:3" ht="30.1" customHeight="1" x14ac:dyDescent="0.25">
      <c r="A24" s="1"/>
      <c r="B24" s="1"/>
      <c r="C24" s="1"/>
    </row>
    <row r="25" spans="1:3" ht="30.1" customHeight="1" x14ac:dyDescent="0.25">
      <c r="A25" s="1"/>
      <c r="B25" s="1"/>
      <c r="C25" s="1"/>
    </row>
  </sheetData>
  <mergeCells count="5">
    <mergeCell ref="A1:C1"/>
    <mergeCell ref="A3:C3"/>
    <mergeCell ref="A4:C4"/>
    <mergeCell ref="A5:C5"/>
    <mergeCell ref="A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7994-4EE7-41C2-B17A-D91C7786BA34}">
  <dimension ref="A1:Q40"/>
  <sheetViews>
    <sheetView workbookViewId="0"/>
  </sheetViews>
  <sheetFormatPr defaultRowHeight="14.3" x14ac:dyDescent="0.25"/>
  <cols>
    <col min="1" max="1" width="13.625" customWidth="1"/>
    <col min="2" max="2" width="23.625" customWidth="1"/>
    <col min="3" max="17" width="13.625" customWidth="1"/>
  </cols>
  <sheetData>
    <row r="1" spans="1:17" ht="22.1" customHeight="1" x14ac:dyDescent="0.25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1" customHeight="1" x14ac:dyDescent="0.25">
      <c r="A2" s="1"/>
      <c r="B2" s="2" t="s">
        <v>1</v>
      </c>
      <c r="C2" s="1">
        <f>COUNT(Data!E2:E37)</f>
        <v>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2.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36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1"/>
      <c r="J4" s="1"/>
      <c r="K4" s="1"/>
      <c r="L4" s="1"/>
      <c r="M4" s="1"/>
      <c r="N4" s="1"/>
      <c r="O4" s="1"/>
      <c r="P4" s="1"/>
      <c r="Q4" s="1"/>
    </row>
    <row r="5" spans="1:17" ht="22.1" customHeight="1" x14ac:dyDescent="0.25">
      <c r="A5" s="1">
        <v>1</v>
      </c>
      <c r="B5" s="2" t="s">
        <v>10</v>
      </c>
      <c r="C5" s="10">
        <f>COUNTIFS(Data!$E$2:$E$37,A5)</f>
        <v>4</v>
      </c>
      <c r="D5" s="11">
        <f>C5/$C$2</f>
        <v>0.1111111111111111</v>
      </c>
      <c r="E5" s="12">
        <f>D5</f>
        <v>0.1111111111111111</v>
      </c>
      <c r="F5" s="10">
        <f>SUM($C$5:C5)</f>
        <v>4</v>
      </c>
      <c r="G5" s="11">
        <f>F5/$C$2</f>
        <v>0.1111111111111111</v>
      </c>
      <c r="H5" s="12">
        <f>G5</f>
        <v>0.1111111111111111</v>
      </c>
      <c r="I5" s="1"/>
      <c r="J5" s="1"/>
      <c r="K5" s="1"/>
      <c r="L5" s="1"/>
      <c r="M5" s="1"/>
      <c r="N5" s="1"/>
      <c r="O5" s="1"/>
      <c r="P5" s="1"/>
      <c r="Q5" s="1"/>
    </row>
    <row r="6" spans="1:17" ht="22.1" customHeight="1" x14ac:dyDescent="0.25">
      <c r="A6" s="1">
        <v>2</v>
      </c>
      <c r="B6" s="2" t="s">
        <v>11</v>
      </c>
      <c r="C6" s="10">
        <f>COUNTIFS(Data!$E$2:$E$37,A6)</f>
        <v>10</v>
      </c>
      <c r="D6" s="11">
        <f t="shared" ref="D6:D8" si="0">C6/$C$2</f>
        <v>0.27777777777777779</v>
      </c>
      <c r="E6" s="12">
        <f t="shared" ref="E6:E8" si="1">D6</f>
        <v>0.27777777777777779</v>
      </c>
      <c r="F6" s="10">
        <f>SUM($C$5:C6)</f>
        <v>14</v>
      </c>
      <c r="G6" s="11">
        <f t="shared" ref="G6:G8" si="2">F6/$C$2</f>
        <v>0.3888888888888889</v>
      </c>
      <c r="H6" s="12">
        <f t="shared" ref="H6:H8" si="3">G6</f>
        <v>0.3888888888888889</v>
      </c>
      <c r="I6" s="1"/>
      <c r="J6" s="1"/>
      <c r="K6" s="1"/>
      <c r="L6" s="1"/>
      <c r="M6" s="1"/>
      <c r="N6" s="1"/>
      <c r="O6" s="1"/>
      <c r="P6" s="1"/>
      <c r="Q6" s="1"/>
    </row>
    <row r="7" spans="1:17" ht="22.1" customHeight="1" x14ac:dyDescent="0.25">
      <c r="A7" s="1">
        <v>3</v>
      </c>
      <c r="B7" s="2" t="s">
        <v>12</v>
      </c>
      <c r="C7" s="10">
        <f>COUNTIFS(Data!$E$2:$E$37,A7)</f>
        <v>14</v>
      </c>
      <c r="D7" s="11">
        <f t="shared" si="0"/>
        <v>0.3888888888888889</v>
      </c>
      <c r="E7" s="12">
        <f t="shared" si="1"/>
        <v>0.3888888888888889</v>
      </c>
      <c r="F7" s="10">
        <f>SUM($C$5:C7)</f>
        <v>28</v>
      </c>
      <c r="G7" s="11">
        <f t="shared" si="2"/>
        <v>0.77777777777777779</v>
      </c>
      <c r="H7" s="12">
        <f t="shared" si="3"/>
        <v>0.77777777777777779</v>
      </c>
      <c r="I7" s="1"/>
      <c r="J7" s="1"/>
      <c r="K7" s="1"/>
      <c r="L7" s="1"/>
      <c r="M7" s="1"/>
      <c r="N7" s="1"/>
      <c r="O7" s="1"/>
      <c r="P7" s="1"/>
      <c r="Q7" s="1"/>
    </row>
    <row r="8" spans="1:17" ht="22.1" customHeight="1" x14ac:dyDescent="0.25">
      <c r="A8" s="1">
        <v>4</v>
      </c>
      <c r="B8" s="2" t="s">
        <v>13</v>
      </c>
      <c r="C8" s="10">
        <f>COUNTIFS(Data!$E$2:$E$37,A8)</f>
        <v>8</v>
      </c>
      <c r="D8" s="11">
        <f t="shared" si="0"/>
        <v>0.22222222222222221</v>
      </c>
      <c r="E8" s="12">
        <f t="shared" si="1"/>
        <v>0.22222222222222221</v>
      </c>
      <c r="F8" s="10">
        <f>SUM($C$5:C8)</f>
        <v>36</v>
      </c>
      <c r="G8" s="11">
        <f t="shared" si="2"/>
        <v>1</v>
      </c>
      <c r="H8" s="12">
        <f t="shared" si="3"/>
        <v>1</v>
      </c>
      <c r="I8" s="1"/>
      <c r="J8" s="1"/>
      <c r="K8" s="1"/>
      <c r="L8" s="1"/>
      <c r="M8" s="1"/>
      <c r="N8" s="1"/>
      <c r="O8" s="1"/>
      <c r="P8" s="1"/>
      <c r="Q8" s="1"/>
    </row>
    <row r="9" spans="1:17" ht="22.1" customHeight="1" x14ac:dyDescent="0.25">
      <c r="A9" s="1"/>
      <c r="B9" s="1"/>
      <c r="C9" s="1"/>
      <c r="D9" s="8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2.1" customHeight="1" x14ac:dyDescent="0.25">
      <c r="A10" s="1"/>
      <c r="B10" s="3" t="s">
        <v>14</v>
      </c>
      <c r="C10" s="13">
        <f>SUM(C5:C8)</f>
        <v>36</v>
      </c>
      <c r="D10" s="14">
        <f>SUM(D5:D8)</f>
        <v>1</v>
      </c>
      <c r="E10" s="15">
        <f>D10</f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2.1" customHeight="1" x14ac:dyDescent="0.25">
      <c r="A12" s="16" t="s">
        <v>15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2.1" customHeight="1" x14ac:dyDescent="0.25">
      <c r="A13" s="16" t="s">
        <v>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2.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2.1" customHeight="1" x14ac:dyDescent="0.25">
      <c r="A15" s="16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2.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2.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2.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2.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2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2.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2.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2.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1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BA28-C601-4825-97E2-30D5042265B8}">
  <dimension ref="A1:Q40"/>
  <sheetViews>
    <sheetView workbookViewId="0"/>
  </sheetViews>
  <sheetFormatPr defaultRowHeight="14.3" x14ac:dyDescent="0.25"/>
  <cols>
    <col min="1" max="1" width="13.625" customWidth="1"/>
    <col min="2" max="2" width="20.625" customWidth="1"/>
    <col min="3" max="3" width="19.625" customWidth="1"/>
    <col min="4" max="17" width="13.625" customWidth="1"/>
  </cols>
  <sheetData>
    <row r="1" spans="1:17" ht="22.1" customHeight="1" x14ac:dyDescent="0.25">
      <c r="A1" s="4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1" customHeight="1" x14ac:dyDescent="0.25">
      <c r="A2" s="1"/>
      <c r="B2" s="2" t="s">
        <v>19</v>
      </c>
      <c r="C2" s="1">
        <f>COUNT(Data!B2:B37)</f>
        <v>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2.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36" customHeight="1" x14ac:dyDescent="0.25">
      <c r="A4" s="7" t="s">
        <v>20</v>
      </c>
      <c r="B4" s="7" t="s">
        <v>21</v>
      </c>
      <c r="C4" s="7" t="s">
        <v>22</v>
      </c>
      <c r="D4" s="7" t="s">
        <v>4</v>
      </c>
      <c r="E4" s="7" t="s">
        <v>5</v>
      </c>
      <c r="F4" s="7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2.1" customHeight="1" x14ac:dyDescent="0.25">
      <c r="A5" s="1">
        <v>4</v>
      </c>
      <c r="B5" s="1">
        <v>5</v>
      </c>
      <c r="C5" s="2" t="s">
        <v>23</v>
      </c>
      <c r="D5" s="10">
        <f>COUNTIFS(Data!$B$2:$B$37,"&gt;"&amp;A5,Data!$B$2:$B$37,"&lt;="&amp;B5)</f>
        <v>3</v>
      </c>
      <c r="E5" s="11">
        <f>D5/$C$2</f>
        <v>9.0909090909090912E-2</v>
      </c>
      <c r="F5" s="12">
        <f>E5</f>
        <v>9.0909090909090912E-2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2.1" customHeight="1" x14ac:dyDescent="0.25">
      <c r="A6" s="1">
        <v>5</v>
      </c>
      <c r="B6" s="1">
        <v>6</v>
      </c>
      <c r="C6" s="2" t="s">
        <v>24</v>
      </c>
      <c r="D6" s="10">
        <f>COUNTIFS(Data!$B$2:$B$37,"&gt;"&amp;A6,Data!$B$2:$B$37,"&lt;="&amp;B6)</f>
        <v>5</v>
      </c>
      <c r="E6" s="11">
        <f t="shared" ref="E6:E10" si="0">D6/$C$2</f>
        <v>0.15151515151515152</v>
      </c>
      <c r="F6" s="12">
        <f t="shared" ref="F6:F10" si="1">E6</f>
        <v>0.15151515151515152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2.1" customHeight="1" x14ac:dyDescent="0.25">
      <c r="A7" s="1">
        <v>6</v>
      </c>
      <c r="B7" s="1">
        <v>7</v>
      </c>
      <c r="C7" s="2" t="s">
        <v>25</v>
      </c>
      <c r="D7" s="10">
        <f>COUNTIFS(Data!$B$2:$B$37,"&gt;"&amp;A7,Data!$B$2:$B$37,"&lt;="&amp;B7)</f>
        <v>8</v>
      </c>
      <c r="E7" s="11">
        <f t="shared" si="0"/>
        <v>0.24242424242424243</v>
      </c>
      <c r="F7" s="12">
        <f t="shared" si="1"/>
        <v>0.24242424242424243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2.1" customHeight="1" x14ac:dyDescent="0.25">
      <c r="A8" s="1">
        <v>7</v>
      </c>
      <c r="B8" s="1">
        <v>8</v>
      </c>
      <c r="C8" s="2" t="s">
        <v>26</v>
      </c>
      <c r="D8" s="10">
        <f>COUNTIFS(Data!$B$2:$B$37,"&gt;"&amp;A8,Data!$B$2:$B$37,"&lt;="&amp;B8)</f>
        <v>10</v>
      </c>
      <c r="E8" s="11">
        <f t="shared" si="0"/>
        <v>0.30303030303030304</v>
      </c>
      <c r="F8" s="12">
        <f t="shared" si="1"/>
        <v>0.30303030303030304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2.1" customHeight="1" x14ac:dyDescent="0.25">
      <c r="A9" s="1">
        <v>8</v>
      </c>
      <c r="B9" s="1">
        <v>9</v>
      </c>
      <c r="C9" s="2" t="s">
        <v>27</v>
      </c>
      <c r="D9" s="10">
        <f>COUNTIFS(Data!$B$2:$B$37,"&gt;"&amp;A9,Data!$B$2:$B$37,"&lt;="&amp;B9)</f>
        <v>5</v>
      </c>
      <c r="E9" s="11">
        <f t="shared" si="0"/>
        <v>0.15151515151515152</v>
      </c>
      <c r="F9" s="12">
        <f t="shared" si="1"/>
        <v>0.15151515151515152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2.1" customHeight="1" x14ac:dyDescent="0.25">
      <c r="A10" s="1">
        <v>9</v>
      </c>
      <c r="B10" s="1">
        <v>10</v>
      </c>
      <c r="C10" s="2" t="s">
        <v>28</v>
      </c>
      <c r="D10" s="10">
        <f>COUNTIFS(Data!$B$2:$B$37,"&gt;"&amp;A10,Data!$B$2:$B$37,"&lt;="&amp;B10)</f>
        <v>2</v>
      </c>
      <c r="E10" s="11">
        <f t="shared" si="0"/>
        <v>6.0606060606060608E-2</v>
      </c>
      <c r="F10" s="12">
        <f t="shared" si="1"/>
        <v>6.0606060606060608E-2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1" customHeight="1" x14ac:dyDescent="0.25">
      <c r="A11" s="1"/>
      <c r="B11" s="1"/>
      <c r="C11" s="1"/>
      <c r="D11" s="1"/>
      <c r="E11" s="8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2.1" customHeight="1" x14ac:dyDescent="0.25">
      <c r="A12" s="1"/>
      <c r="B12" s="1"/>
      <c r="C12" s="3" t="s">
        <v>14</v>
      </c>
      <c r="D12" s="13">
        <f>SUM(D5:D10)</f>
        <v>33</v>
      </c>
      <c r="E12" s="14">
        <f>SUM(E5:E10)</f>
        <v>1</v>
      </c>
      <c r="F12" s="15">
        <f>E12</f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2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2.1" customHeight="1" x14ac:dyDescent="0.25">
      <c r="A14" s="16" t="s">
        <v>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2.1" customHeight="1" x14ac:dyDescent="0.25">
      <c r="A15" s="16" t="s">
        <v>30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2.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2.1" customHeight="1" x14ac:dyDescent="0.25">
      <c r="A17" s="16" t="s">
        <v>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2.1" customHeight="1" x14ac:dyDescent="0.25">
      <c r="A18" s="16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2.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2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2.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2.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2.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1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57E6-E98C-4B6E-AB7F-9141D04A6B10}">
  <dimension ref="A1:Q4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13.625" customWidth="1"/>
    <col min="4" max="4" width="19.625" customWidth="1"/>
    <col min="5" max="17" width="13.625" customWidth="1"/>
  </cols>
  <sheetData>
    <row r="1" spans="1:17" ht="36" customHeight="1" x14ac:dyDescent="0.25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1"/>
      <c r="G1" s="2" t="s">
        <v>76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1" customHeight="1" x14ac:dyDescent="0.25">
      <c r="A2" s="2" t="s">
        <v>38</v>
      </c>
      <c r="B2" s="17">
        <v>6</v>
      </c>
      <c r="C2" s="18">
        <v>5</v>
      </c>
      <c r="D2" s="19" t="s">
        <v>39</v>
      </c>
      <c r="E2" s="18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2.1" customHeight="1" x14ac:dyDescent="0.25">
      <c r="A3" s="2" t="s">
        <v>40</v>
      </c>
      <c r="B3" s="17">
        <v>8</v>
      </c>
      <c r="C3" s="18">
        <v>9</v>
      </c>
      <c r="D3" s="19" t="s">
        <v>41</v>
      </c>
      <c r="E3" s="18">
        <v>4</v>
      </c>
      <c r="F3" s="1"/>
      <c r="G3" s="16" t="s">
        <v>77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2.1" customHeight="1" x14ac:dyDescent="0.25">
      <c r="A4" s="2" t="s">
        <v>42</v>
      </c>
      <c r="B4" s="17">
        <v>7</v>
      </c>
      <c r="C4" s="18">
        <v>8</v>
      </c>
      <c r="D4" s="19" t="s">
        <v>39</v>
      </c>
      <c r="E4" s="18">
        <v>3</v>
      </c>
      <c r="F4" s="1"/>
      <c r="G4" s="16" t="s">
        <v>78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2.1" customHeight="1" x14ac:dyDescent="0.25">
      <c r="A5" s="2" t="s">
        <v>43</v>
      </c>
      <c r="B5" s="17">
        <v>5</v>
      </c>
      <c r="C5" s="18">
        <v>6</v>
      </c>
      <c r="D5" s="19" t="s">
        <v>41</v>
      </c>
      <c r="E5" s="18">
        <v>2</v>
      </c>
      <c r="F5" s="1"/>
      <c r="G5" s="16" t="s">
        <v>79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2.1" customHeight="1" x14ac:dyDescent="0.25">
      <c r="A6" s="2" t="s">
        <v>44</v>
      </c>
      <c r="B6" s="17"/>
      <c r="C6" s="18">
        <v>7</v>
      </c>
      <c r="D6" s="19" t="s">
        <v>39</v>
      </c>
      <c r="E6" s="18">
        <v>3</v>
      </c>
      <c r="F6" s="1"/>
      <c r="G6" s="16" t="s">
        <v>80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2.1" customHeight="1" x14ac:dyDescent="0.25">
      <c r="A7" s="2" t="s">
        <v>45</v>
      </c>
      <c r="B7" s="17">
        <v>7</v>
      </c>
      <c r="C7" s="18">
        <v>0</v>
      </c>
      <c r="D7" s="19" t="s">
        <v>41</v>
      </c>
      <c r="E7" s="18">
        <v>1</v>
      </c>
      <c r="F7" s="1"/>
      <c r="G7" s="16" t="s">
        <v>81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2.1" customHeight="1" x14ac:dyDescent="0.25">
      <c r="A8" s="2" t="s">
        <v>46</v>
      </c>
      <c r="B8" s="17">
        <v>4.5</v>
      </c>
      <c r="C8" s="18">
        <v>2</v>
      </c>
      <c r="D8" s="19" t="s">
        <v>41</v>
      </c>
      <c r="E8" s="18">
        <v>1</v>
      </c>
      <c r="F8" s="1"/>
      <c r="G8" s="16" t="s">
        <v>82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2.1" customHeight="1" x14ac:dyDescent="0.25">
      <c r="A9" s="2" t="s">
        <v>47</v>
      </c>
      <c r="B9" s="17">
        <v>6.3</v>
      </c>
      <c r="C9" s="18">
        <v>7</v>
      </c>
      <c r="D9" s="19" t="s">
        <v>39</v>
      </c>
      <c r="E9" s="18">
        <v>3</v>
      </c>
      <c r="F9" s="1"/>
      <c r="G9" s="16" t="s">
        <v>83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2.1" customHeight="1" x14ac:dyDescent="0.25">
      <c r="A10" s="2" t="s">
        <v>48</v>
      </c>
      <c r="B10" s="17">
        <v>7.3</v>
      </c>
      <c r="C10" s="18">
        <v>9</v>
      </c>
      <c r="D10" s="19" t="s">
        <v>39</v>
      </c>
      <c r="E10" s="18">
        <v>4</v>
      </c>
      <c r="F10" s="1"/>
      <c r="G10" s="16" t="s">
        <v>84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1" customHeight="1" x14ac:dyDescent="0.25">
      <c r="A11" s="2" t="s">
        <v>49</v>
      </c>
      <c r="B11" s="17">
        <v>8.1</v>
      </c>
      <c r="C11" s="18">
        <v>4</v>
      </c>
      <c r="D11" s="19" t="s">
        <v>41</v>
      </c>
      <c r="E11" s="18">
        <v>2</v>
      </c>
      <c r="F11" s="1"/>
      <c r="G11" s="16" t="s">
        <v>85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2.1" customHeight="1" x14ac:dyDescent="0.25">
      <c r="A12" s="2" t="s">
        <v>50</v>
      </c>
      <c r="B12" s="17"/>
      <c r="C12" s="18">
        <v>7</v>
      </c>
      <c r="D12" s="19" t="s">
        <v>39</v>
      </c>
      <c r="E12" s="18">
        <v>3</v>
      </c>
      <c r="F12" s="1"/>
      <c r="G12" s="16" t="s">
        <v>86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2.1" customHeight="1" x14ac:dyDescent="0.25">
      <c r="A13" s="2" t="s">
        <v>51</v>
      </c>
      <c r="B13" s="17">
        <v>6</v>
      </c>
      <c r="C13" s="18">
        <v>10</v>
      </c>
      <c r="D13" s="19" t="s">
        <v>39</v>
      </c>
      <c r="E13" s="18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2.1" customHeight="1" x14ac:dyDescent="0.25">
      <c r="A14" s="2" t="s">
        <v>52</v>
      </c>
      <c r="B14" s="17">
        <v>7.1</v>
      </c>
      <c r="C14" s="18">
        <v>5</v>
      </c>
      <c r="D14" s="19" t="s">
        <v>41</v>
      </c>
      <c r="E14" s="18">
        <v>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2.1" customHeight="1" x14ac:dyDescent="0.25">
      <c r="A15" s="2" t="s">
        <v>53</v>
      </c>
      <c r="B15" s="17">
        <v>7.9</v>
      </c>
      <c r="C15" s="18">
        <v>8</v>
      </c>
      <c r="D15" s="19" t="s">
        <v>39</v>
      </c>
      <c r="E15" s="18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2.1" customHeight="1" x14ac:dyDescent="0.25">
      <c r="A16" s="2" t="s">
        <v>54</v>
      </c>
      <c r="B16" s="17">
        <v>9.1999999999999993</v>
      </c>
      <c r="C16" s="18">
        <v>11</v>
      </c>
      <c r="D16" s="19" t="s">
        <v>39</v>
      </c>
      <c r="E16" s="18">
        <v>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2.1" customHeight="1" x14ac:dyDescent="0.25">
      <c r="A17" s="2" t="s">
        <v>55</v>
      </c>
      <c r="B17" s="17">
        <v>5.5</v>
      </c>
      <c r="C17" s="18">
        <v>6</v>
      </c>
      <c r="D17" s="19" t="s">
        <v>41</v>
      </c>
      <c r="E17" s="18"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2.1" customHeight="1" x14ac:dyDescent="0.25">
      <c r="A18" s="2" t="s">
        <v>56</v>
      </c>
      <c r="B18" s="17">
        <v>6.8</v>
      </c>
      <c r="C18" s="18">
        <v>8</v>
      </c>
      <c r="D18" s="19" t="s">
        <v>39</v>
      </c>
      <c r="E18" s="18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2.1" customHeight="1" x14ac:dyDescent="0.25">
      <c r="A19" s="2" t="s">
        <v>57</v>
      </c>
      <c r="B19" s="17">
        <v>7.5</v>
      </c>
      <c r="C19" s="18">
        <v>3</v>
      </c>
      <c r="D19" s="19" t="s">
        <v>39</v>
      </c>
      <c r="E19" s="18">
        <v>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2.1" customHeight="1" x14ac:dyDescent="0.25">
      <c r="A20" s="2" t="s">
        <v>58</v>
      </c>
      <c r="B20" s="17">
        <v>8.8000000000000007</v>
      </c>
      <c r="C20" s="18">
        <v>7</v>
      </c>
      <c r="D20" s="19" t="s">
        <v>41</v>
      </c>
      <c r="E20" s="18">
        <v>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2.1" customHeight="1" x14ac:dyDescent="0.25">
      <c r="A21" s="2" t="s">
        <v>59</v>
      </c>
      <c r="B21" s="17">
        <v>4.8</v>
      </c>
      <c r="C21" s="18">
        <v>9</v>
      </c>
      <c r="D21" s="19" t="s">
        <v>39</v>
      </c>
      <c r="E21" s="18">
        <v>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1" customHeight="1" x14ac:dyDescent="0.25">
      <c r="A22" s="2" t="s">
        <v>60</v>
      </c>
      <c r="B22" s="17">
        <v>6.5</v>
      </c>
      <c r="C22" s="18">
        <v>5</v>
      </c>
      <c r="D22" s="19" t="s">
        <v>39</v>
      </c>
      <c r="E22" s="18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2.1" customHeight="1" x14ac:dyDescent="0.25">
      <c r="A23" s="2" t="s">
        <v>61</v>
      </c>
      <c r="B23" s="17">
        <v>7.4</v>
      </c>
      <c r="C23" s="18">
        <v>7</v>
      </c>
      <c r="D23" s="19" t="s">
        <v>41</v>
      </c>
      <c r="E23" s="18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2.1" customHeight="1" x14ac:dyDescent="0.25">
      <c r="A24" s="2" t="s">
        <v>62</v>
      </c>
      <c r="B24" s="17">
        <v>8.3000000000000007</v>
      </c>
      <c r="C24" s="18">
        <v>10</v>
      </c>
      <c r="D24" s="19" t="s">
        <v>39</v>
      </c>
      <c r="E24" s="18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1" customHeight="1" x14ac:dyDescent="0.25">
      <c r="A25" s="2" t="s">
        <v>63</v>
      </c>
      <c r="B25" s="17"/>
      <c r="C25" s="18">
        <v>6</v>
      </c>
      <c r="D25" s="19" t="s">
        <v>39</v>
      </c>
      <c r="E25" s="18">
        <v>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1" customHeight="1" x14ac:dyDescent="0.25">
      <c r="A26" s="2" t="s">
        <v>64</v>
      </c>
      <c r="B26" s="17">
        <v>6.2</v>
      </c>
      <c r="C26" s="18">
        <v>8</v>
      </c>
      <c r="D26" s="19" t="s">
        <v>41</v>
      </c>
      <c r="E26" s="18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1" customHeight="1" x14ac:dyDescent="0.25">
      <c r="A27" s="2" t="s">
        <v>65</v>
      </c>
      <c r="B27" s="17">
        <v>7.2</v>
      </c>
      <c r="C27" s="18">
        <v>12</v>
      </c>
      <c r="D27" s="19" t="s">
        <v>39</v>
      </c>
      <c r="E27" s="18">
        <v>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1" customHeight="1" x14ac:dyDescent="0.25">
      <c r="A28" s="2" t="s">
        <v>66</v>
      </c>
      <c r="B28" s="17">
        <v>8</v>
      </c>
      <c r="C28" s="18">
        <v>6</v>
      </c>
      <c r="D28" s="19" t="s">
        <v>39</v>
      </c>
      <c r="E28" s="18">
        <v>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1" customHeight="1" x14ac:dyDescent="0.25">
      <c r="A29" s="2" t="s">
        <v>67</v>
      </c>
      <c r="B29" s="17">
        <v>9.5</v>
      </c>
      <c r="C29" s="18">
        <v>9</v>
      </c>
      <c r="D29" s="19" t="s">
        <v>41</v>
      </c>
      <c r="E29" s="18">
        <v>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1" customHeight="1" x14ac:dyDescent="0.25">
      <c r="A30" s="2" t="s">
        <v>68</v>
      </c>
      <c r="B30" s="17">
        <v>5.8</v>
      </c>
      <c r="C30" s="18">
        <v>4</v>
      </c>
      <c r="D30" s="19" t="s">
        <v>39</v>
      </c>
      <c r="E30" s="18">
        <v>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1" customHeight="1" x14ac:dyDescent="0.25">
      <c r="A31" s="2" t="s">
        <v>69</v>
      </c>
      <c r="B31" s="17">
        <v>7</v>
      </c>
      <c r="C31" s="18">
        <v>7</v>
      </c>
      <c r="D31" s="19" t="s">
        <v>39</v>
      </c>
      <c r="E31" s="18">
        <v>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1" customHeight="1" x14ac:dyDescent="0.25">
      <c r="A32" s="2" t="s">
        <v>70</v>
      </c>
      <c r="B32" s="17">
        <v>7.7</v>
      </c>
      <c r="C32" s="18">
        <v>10</v>
      </c>
      <c r="D32" s="19" t="s">
        <v>41</v>
      </c>
      <c r="E32" s="18">
        <v>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1" customHeight="1" x14ac:dyDescent="0.25">
      <c r="A33" s="2" t="s">
        <v>71</v>
      </c>
      <c r="B33" s="17">
        <v>9</v>
      </c>
      <c r="C33" s="18">
        <v>5</v>
      </c>
      <c r="D33" s="19" t="s">
        <v>39</v>
      </c>
      <c r="E33" s="18">
        <v>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1" customHeight="1" x14ac:dyDescent="0.25">
      <c r="A34" s="2" t="s">
        <v>72</v>
      </c>
      <c r="B34" s="17">
        <v>5.2</v>
      </c>
      <c r="C34" s="18">
        <v>8</v>
      </c>
      <c r="D34" s="19" t="s">
        <v>39</v>
      </c>
      <c r="E34" s="18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1" customHeight="1" x14ac:dyDescent="0.25">
      <c r="A35" s="2" t="s">
        <v>73</v>
      </c>
      <c r="B35" s="17">
        <v>6.5</v>
      </c>
      <c r="C35" s="18">
        <v>11</v>
      </c>
      <c r="D35" s="19" t="s">
        <v>41</v>
      </c>
      <c r="E35" s="18">
        <v>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1" customHeight="1" x14ac:dyDescent="0.25">
      <c r="A36" s="2" t="s">
        <v>74</v>
      </c>
      <c r="B36" s="17">
        <v>7.5</v>
      </c>
      <c r="C36" s="18">
        <v>6</v>
      </c>
      <c r="D36" s="19" t="s">
        <v>39</v>
      </c>
      <c r="E36" s="18">
        <v>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1" customHeight="1" x14ac:dyDescent="0.25">
      <c r="A37" s="2" t="s">
        <v>75</v>
      </c>
      <c r="B37" s="17">
        <v>8.5</v>
      </c>
      <c r="C37" s="18">
        <v>8</v>
      </c>
      <c r="D37" s="19" t="s">
        <v>39</v>
      </c>
      <c r="E37" s="18">
        <v>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</sheetData>
  <dataValidations count="2">
    <dataValidation type="whole" showInputMessage="1" sqref="E2:E37" xr:uid="{81609B10-FAA2-4A25-9464-7A59C2DE3AC6}">
      <formula1>1</formula1>
      <formula2>4</formula2>
    </dataValidation>
    <dataValidation type="whole" showInputMessage="1" sqref="C2:C37" xr:uid="{AC56D774-C098-4D6F-84B2-88FD91A2A829}">
      <formula1>0</formula1>
      <formula2>12</formula2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3E3B-F619-4A80-9081-6FFD1CA2DBF2}">
  <dimension ref="A1:G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5" width="22.625" customWidth="1"/>
    <col min="7" max="7" width="60.625" customWidth="1"/>
  </cols>
  <sheetData>
    <row r="1" spans="1:7" ht="46.05" customHeight="1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G1" s="21" t="s">
        <v>87</v>
      </c>
    </row>
    <row r="2" spans="1:7" ht="25" customHeight="1" x14ac:dyDescent="0.25">
      <c r="A2" s="20" t="s">
        <v>38</v>
      </c>
      <c r="B2" s="20">
        <v>6</v>
      </c>
      <c r="C2" s="20">
        <v>5</v>
      </c>
      <c r="D2" s="20" t="s">
        <v>39</v>
      </c>
      <c r="E2" s="20">
        <v>2</v>
      </c>
      <c r="G2" s="23" t="s">
        <v>88</v>
      </c>
    </row>
    <row r="3" spans="1:7" ht="25" customHeight="1" x14ac:dyDescent="0.25">
      <c r="A3" s="20" t="s">
        <v>40</v>
      </c>
      <c r="B3" s="20">
        <v>8</v>
      </c>
      <c r="C3" s="20">
        <v>9</v>
      </c>
      <c r="D3" s="20" t="s">
        <v>41</v>
      </c>
      <c r="E3" s="20">
        <v>4</v>
      </c>
      <c r="G3" s="22"/>
    </row>
    <row r="4" spans="1:7" ht="25" customHeight="1" x14ac:dyDescent="0.25">
      <c r="A4" s="20" t="s">
        <v>42</v>
      </c>
      <c r="B4" s="20">
        <v>7</v>
      </c>
      <c r="C4" s="20">
        <v>8</v>
      </c>
      <c r="D4" s="20" t="s">
        <v>39</v>
      </c>
      <c r="E4" s="20">
        <v>3</v>
      </c>
      <c r="G4" s="23" t="s">
        <v>89</v>
      </c>
    </row>
    <row r="5" spans="1:7" ht="25" customHeight="1" x14ac:dyDescent="0.25">
      <c r="A5" s="20" t="s">
        <v>43</v>
      </c>
      <c r="B5" s="20">
        <v>5</v>
      </c>
      <c r="C5" s="20">
        <v>6</v>
      </c>
      <c r="D5" s="20" t="s">
        <v>41</v>
      </c>
      <c r="E5" s="20">
        <v>2</v>
      </c>
      <c r="G5" s="22"/>
    </row>
    <row r="6" spans="1:7" ht="25" customHeight="1" x14ac:dyDescent="0.25">
      <c r="A6" s="20" t="s">
        <v>44</v>
      </c>
      <c r="B6" s="20"/>
      <c r="C6" s="20">
        <v>7</v>
      </c>
      <c r="D6" s="20" t="s">
        <v>39</v>
      </c>
      <c r="E6" s="20">
        <v>3</v>
      </c>
      <c r="G6" s="22"/>
    </row>
    <row r="7" spans="1:7" ht="25" customHeight="1" x14ac:dyDescent="0.25">
      <c r="A7" s="20" t="s">
        <v>45</v>
      </c>
      <c r="B7" s="20">
        <v>7</v>
      </c>
      <c r="C7" s="20">
        <v>0</v>
      </c>
      <c r="D7" s="20" t="s">
        <v>41</v>
      </c>
      <c r="E7" s="20">
        <v>1</v>
      </c>
      <c r="G7" s="22"/>
    </row>
  </sheetData>
  <mergeCells count="2">
    <mergeCell ref="G2:G3"/>
    <mergeCell ref="G4:G7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DAED-8E87-4EE2-B10E-84FA288C7BD0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6" t="s">
        <v>90</v>
      </c>
      <c r="B1" s="6" t="s">
        <v>4</v>
      </c>
      <c r="D1" s="21" t="s">
        <v>87</v>
      </c>
    </row>
    <row r="2" spans="1:4" ht="25" customHeight="1" x14ac:dyDescent="0.25">
      <c r="A2" s="20" t="s">
        <v>91</v>
      </c>
      <c r="B2" s="20">
        <v>14</v>
      </c>
      <c r="D2" s="23" t="s">
        <v>94</v>
      </c>
    </row>
    <row r="3" spans="1:4" ht="25" customHeight="1" x14ac:dyDescent="0.25">
      <c r="A3" s="20" t="s">
        <v>92</v>
      </c>
      <c r="B3" s="20">
        <v>12</v>
      </c>
      <c r="D3" s="22"/>
    </row>
    <row r="4" spans="1:4" ht="25" customHeight="1" x14ac:dyDescent="0.25">
      <c r="A4" s="20" t="s">
        <v>93</v>
      </c>
      <c r="B4" s="20">
        <v>10</v>
      </c>
      <c r="D4" s="23" t="s">
        <v>89</v>
      </c>
    </row>
    <row r="5" spans="1:4" x14ac:dyDescent="0.25">
      <c r="D5" s="22"/>
    </row>
    <row r="6" spans="1:4" x14ac:dyDescent="0.25">
      <c r="D6" s="22"/>
    </row>
    <row r="7" spans="1:4" x14ac:dyDescent="0.25">
      <c r="D7" s="22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7B4E-AEE7-4C5B-A012-4F1FD75151F2}">
  <dimension ref="A1:I1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7" width="22.625" customWidth="1"/>
    <col min="9" max="9" width="60.625" customWidth="1"/>
  </cols>
  <sheetData>
    <row r="1" spans="1:9" ht="46.05" customHeight="1" x14ac:dyDescent="0.25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I1" s="21" t="s">
        <v>87</v>
      </c>
    </row>
    <row r="2" spans="1:9" ht="25" customHeight="1" x14ac:dyDescent="0.25">
      <c r="A2" s="20">
        <v>1</v>
      </c>
      <c r="B2" s="20">
        <v>1</v>
      </c>
      <c r="C2" s="20">
        <v>1</v>
      </c>
      <c r="D2" s="20">
        <v>1</v>
      </c>
      <c r="E2" s="20">
        <v>1</v>
      </c>
      <c r="F2" s="20">
        <v>4</v>
      </c>
      <c r="G2" s="20">
        <v>1</v>
      </c>
      <c r="I2" s="23" t="s">
        <v>102</v>
      </c>
    </row>
    <row r="3" spans="1:9" ht="25" customHeight="1" x14ac:dyDescent="0.25">
      <c r="A3" s="20">
        <v>2</v>
      </c>
      <c r="B3" s="20">
        <v>2</v>
      </c>
      <c r="C3" s="20">
        <v>3</v>
      </c>
      <c r="D3" s="20">
        <v>1</v>
      </c>
      <c r="E3" s="20">
        <v>6</v>
      </c>
      <c r="F3" s="20">
        <v>4</v>
      </c>
      <c r="G3" s="20">
        <v>3</v>
      </c>
      <c r="I3" s="22"/>
    </row>
    <row r="4" spans="1:9" ht="25" customHeight="1" x14ac:dyDescent="0.25">
      <c r="A4" s="20">
        <v>3</v>
      </c>
      <c r="B4" s="20">
        <v>4</v>
      </c>
      <c r="C4" s="20">
        <v>10</v>
      </c>
      <c r="D4" s="20">
        <v>2</v>
      </c>
      <c r="E4" s="20">
        <v>10</v>
      </c>
      <c r="F4" s="20">
        <v>4</v>
      </c>
      <c r="G4" s="20">
        <v>8</v>
      </c>
      <c r="I4" s="23" t="s">
        <v>103</v>
      </c>
    </row>
    <row r="5" spans="1:9" ht="25" customHeight="1" x14ac:dyDescent="0.25">
      <c r="A5" s="20">
        <v>4</v>
      </c>
      <c r="B5" s="20">
        <v>7</v>
      </c>
      <c r="C5" s="20">
        <v>8</v>
      </c>
      <c r="D5" s="20">
        <v>3</v>
      </c>
      <c r="E5" s="20">
        <v>4</v>
      </c>
      <c r="F5" s="20">
        <v>4</v>
      </c>
      <c r="G5" s="20">
        <v>9</v>
      </c>
      <c r="I5" s="22"/>
    </row>
    <row r="6" spans="1:9" ht="25" customHeight="1" x14ac:dyDescent="0.25">
      <c r="A6" s="20">
        <v>5</v>
      </c>
      <c r="B6" s="20">
        <v>10</v>
      </c>
      <c r="C6" s="20">
        <v>5</v>
      </c>
      <c r="D6" s="20">
        <v>5</v>
      </c>
      <c r="E6" s="20">
        <v>1</v>
      </c>
      <c r="F6" s="20">
        <v>4</v>
      </c>
      <c r="G6" s="20">
        <v>4</v>
      </c>
      <c r="I6" s="22"/>
    </row>
    <row r="7" spans="1:9" ht="25" customHeight="1" x14ac:dyDescent="0.25">
      <c r="A7" s="20">
        <v>6</v>
      </c>
      <c r="B7" s="20">
        <v>7</v>
      </c>
      <c r="C7" s="20">
        <v>3</v>
      </c>
      <c r="D7" s="20">
        <v>8</v>
      </c>
      <c r="E7" s="20">
        <v>4</v>
      </c>
      <c r="F7" s="20">
        <v>4</v>
      </c>
      <c r="G7" s="20">
        <v>1</v>
      </c>
      <c r="I7" s="22"/>
    </row>
    <row r="8" spans="1:9" ht="25" customHeight="1" x14ac:dyDescent="0.25">
      <c r="A8" s="20">
        <v>7</v>
      </c>
      <c r="B8" s="20">
        <v>4</v>
      </c>
      <c r="C8" s="20">
        <v>2</v>
      </c>
      <c r="D8" s="20">
        <v>10</v>
      </c>
      <c r="E8" s="20">
        <v>10</v>
      </c>
      <c r="F8" s="20">
        <v>4</v>
      </c>
      <c r="G8" s="20">
        <v>0</v>
      </c>
    </row>
    <row r="9" spans="1:9" ht="25" customHeight="1" x14ac:dyDescent="0.25">
      <c r="A9" s="20">
        <v>8</v>
      </c>
      <c r="B9" s="20">
        <v>2</v>
      </c>
      <c r="C9" s="20">
        <v>1</v>
      </c>
      <c r="D9" s="20">
        <v>3</v>
      </c>
      <c r="E9" s="20">
        <v>6</v>
      </c>
      <c r="F9" s="20">
        <v>4</v>
      </c>
      <c r="G9" s="20">
        <v>0</v>
      </c>
    </row>
    <row r="10" spans="1:9" ht="25" customHeight="1" x14ac:dyDescent="0.25">
      <c r="A10" s="20">
        <v>9</v>
      </c>
      <c r="B10" s="20">
        <v>1</v>
      </c>
      <c r="C10" s="20">
        <v>1</v>
      </c>
      <c r="D10" s="20">
        <v>1</v>
      </c>
      <c r="E10" s="20">
        <v>1</v>
      </c>
      <c r="F10" s="20">
        <v>4</v>
      </c>
      <c r="G10" s="20">
        <v>1</v>
      </c>
    </row>
  </sheetData>
  <mergeCells count="2">
    <mergeCell ref="I2:I3"/>
    <mergeCell ref="I4:I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1747-BEB9-40A8-8777-F310E037F114}">
  <dimension ref="A1:E14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6" t="s">
        <v>104</v>
      </c>
      <c r="B1" s="6" t="s">
        <v>105</v>
      </c>
      <c r="C1" s="6" t="s">
        <v>106</v>
      </c>
      <c r="E1" s="21" t="s">
        <v>87</v>
      </c>
    </row>
    <row r="2" spans="1:5" ht="25" customHeight="1" x14ac:dyDescent="0.25">
      <c r="A2" s="20">
        <v>0</v>
      </c>
      <c r="B2" s="20">
        <v>15</v>
      </c>
      <c r="C2" s="20">
        <v>0</v>
      </c>
      <c r="E2" s="23" t="s">
        <v>107</v>
      </c>
    </row>
    <row r="3" spans="1:5" ht="25" customHeight="1" x14ac:dyDescent="0.25">
      <c r="A3" s="20">
        <v>1</v>
      </c>
      <c r="B3" s="20">
        <v>7</v>
      </c>
      <c r="C3" s="20">
        <v>0</v>
      </c>
      <c r="E3" s="22"/>
    </row>
    <row r="4" spans="1:5" ht="25" customHeight="1" x14ac:dyDescent="0.25">
      <c r="A4" s="20">
        <v>2</v>
      </c>
      <c r="B4" s="20">
        <v>4</v>
      </c>
      <c r="C4" s="20">
        <v>0</v>
      </c>
      <c r="E4" s="23" t="s">
        <v>89</v>
      </c>
    </row>
    <row r="5" spans="1:5" ht="25" customHeight="1" x14ac:dyDescent="0.25">
      <c r="A5" s="20">
        <v>3</v>
      </c>
      <c r="B5" s="20">
        <v>3</v>
      </c>
      <c r="C5" s="20">
        <v>1</v>
      </c>
      <c r="E5" s="22"/>
    </row>
    <row r="6" spans="1:5" ht="25" customHeight="1" x14ac:dyDescent="0.25">
      <c r="A6" s="20">
        <v>4</v>
      </c>
      <c r="B6" s="20">
        <v>2</v>
      </c>
      <c r="C6" s="20">
        <v>1</v>
      </c>
      <c r="E6" s="22"/>
    </row>
    <row r="7" spans="1:5" ht="25" customHeight="1" x14ac:dyDescent="0.25">
      <c r="A7" s="20">
        <v>5</v>
      </c>
      <c r="B7" s="20">
        <v>1</v>
      </c>
      <c r="C7" s="20">
        <v>1</v>
      </c>
      <c r="E7" s="22"/>
    </row>
    <row r="8" spans="1:5" ht="25" customHeight="1" x14ac:dyDescent="0.25">
      <c r="A8" s="20">
        <v>6</v>
      </c>
      <c r="B8" s="20">
        <v>1</v>
      </c>
      <c r="C8" s="20">
        <v>1</v>
      </c>
    </row>
    <row r="9" spans="1:5" ht="25" customHeight="1" x14ac:dyDescent="0.25">
      <c r="A9" s="20">
        <v>7</v>
      </c>
      <c r="B9" s="20">
        <v>1</v>
      </c>
      <c r="C9" s="20">
        <v>1</v>
      </c>
    </row>
    <row r="10" spans="1:5" ht="25" customHeight="1" x14ac:dyDescent="0.25">
      <c r="A10" s="20">
        <v>8</v>
      </c>
      <c r="B10" s="20">
        <v>1</v>
      </c>
      <c r="C10" s="20">
        <v>2</v>
      </c>
    </row>
    <row r="11" spans="1:5" ht="25" customHeight="1" x14ac:dyDescent="0.25">
      <c r="A11" s="20">
        <v>9</v>
      </c>
      <c r="B11" s="20">
        <v>1</v>
      </c>
      <c r="C11" s="20">
        <v>3</v>
      </c>
    </row>
    <row r="12" spans="1:5" ht="25" customHeight="1" x14ac:dyDescent="0.25">
      <c r="A12" s="20">
        <v>10</v>
      </c>
      <c r="B12" s="20">
        <v>0</v>
      </c>
      <c r="C12" s="20">
        <v>4</v>
      </c>
    </row>
    <row r="13" spans="1:5" ht="25" customHeight="1" x14ac:dyDescent="0.25">
      <c r="A13" s="20">
        <v>11</v>
      </c>
      <c r="B13" s="20">
        <v>0</v>
      </c>
      <c r="C13" s="20">
        <v>7</v>
      </c>
    </row>
    <row r="14" spans="1:5" ht="25" customHeight="1" x14ac:dyDescent="0.25">
      <c r="A14" s="20">
        <v>12</v>
      </c>
      <c r="B14" s="20">
        <v>0</v>
      </c>
      <c r="C14" s="20">
        <v>15</v>
      </c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8CF8-E25A-4F49-A6D0-AE007701391D}">
  <dimension ref="A1:C9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6" t="s">
        <v>108</v>
      </c>
      <c r="C1" s="21" t="s">
        <v>87</v>
      </c>
    </row>
    <row r="2" spans="1:3" ht="25" customHeight="1" x14ac:dyDescent="0.25">
      <c r="A2" s="20">
        <v>12</v>
      </c>
      <c r="C2" s="23" t="s">
        <v>109</v>
      </c>
    </row>
    <row r="3" spans="1:3" ht="25" customHeight="1" x14ac:dyDescent="0.25">
      <c r="A3" s="20">
        <v>14</v>
      </c>
      <c r="C3" s="22"/>
    </row>
    <row r="4" spans="1:3" ht="25" customHeight="1" x14ac:dyDescent="0.25">
      <c r="A4" s="20">
        <v>14</v>
      </c>
      <c r="C4" s="23" t="s">
        <v>89</v>
      </c>
    </row>
    <row r="5" spans="1:3" ht="25" customHeight="1" x14ac:dyDescent="0.25">
      <c r="A5" s="20">
        <v>18</v>
      </c>
      <c r="C5" s="22"/>
    </row>
    <row r="6" spans="1:3" ht="25" customHeight="1" x14ac:dyDescent="0.25">
      <c r="A6" s="20">
        <v>21</v>
      </c>
      <c r="C6" s="22"/>
    </row>
    <row r="7" spans="1:3" ht="25" customHeight="1" x14ac:dyDescent="0.25">
      <c r="A7" s="20">
        <v>23</v>
      </c>
      <c r="C7" s="22"/>
    </row>
    <row r="8" spans="1:3" ht="25" customHeight="1" x14ac:dyDescent="0.25">
      <c r="A8" s="20">
        <v>27</v>
      </c>
    </row>
    <row r="9" spans="1:3" ht="25" customHeight="1" x14ac:dyDescent="0.25">
      <c r="A9" s="20">
        <v>31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3EAE-9C6B-4558-9C4E-EA003711BCA4}">
  <dimension ref="A1:C1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6" t="s">
        <v>110</v>
      </c>
      <c r="C1" s="21" t="s">
        <v>87</v>
      </c>
    </row>
    <row r="2" spans="1:3" ht="25" customHeight="1" x14ac:dyDescent="0.25">
      <c r="A2" s="20">
        <v>2</v>
      </c>
      <c r="C2" s="23" t="s">
        <v>111</v>
      </c>
    </row>
    <row r="3" spans="1:3" ht="25" customHeight="1" x14ac:dyDescent="0.25">
      <c r="A3" s="20">
        <v>3</v>
      </c>
      <c r="C3" s="22"/>
    </row>
    <row r="4" spans="1:3" ht="25" customHeight="1" x14ac:dyDescent="0.25">
      <c r="A4" s="20">
        <v>2</v>
      </c>
      <c r="C4" s="23" t="s">
        <v>112</v>
      </c>
    </row>
    <row r="5" spans="1:3" ht="25" customHeight="1" x14ac:dyDescent="0.25">
      <c r="A5" s="20">
        <v>1</v>
      </c>
      <c r="C5" s="22"/>
    </row>
    <row r="6" spans="1:3" ht="25" customHeight="1" x14ac:dyDescent="0.25">
      <c r="A6" s="20">
        <v>4</v>
      </c>
      <c r="C6" s="22"/>
    </row>
    <row r="7" spans="1:3" ht="25" customHeight="1" x14ac:dyDescent="0.25">
      <c r="A7" s="20">
        <v>3</v>
      </c>
      <c r="C7" s="22"/>
    </row>
    <row r="8" spans="1:3" ht="25" customHeight="1" x14ac:dyDescent="0.25">
      <c r="A8" s="20">
        <v>2</v>
      </c>
    </row>
    <row r="9" spans="1:3" ht="25" customHeight="1" x14ac:dyDescent="0.25">
      <c r="A9" s="20">
        <v>3</v>
      </c>
    </row>
    <row r="10" spans="1:3" ht="25" customHeight="1" x14ac:dyDescent="0.25">
      <c r="A10" s="20">
        <v>4</v>
      </c>
    </row>
    <row r="11" spans="1:3" ht="25" customHeight="1" x14ac:dyDescent="0.25">
      <c r="A11" s="20">
        <v>2</v>
      </c>
    </row>
    <row r="12" spans="1:3" ht="25" customHeight="1" x14ac:dyDescent="0.25">
      <c r="A12" s="20">
        <v>3</v>
      </c>
    </row>
    <row r="13" spans="1:3" ht="25" customHeight="1" x14ac:dyDescent="0.25">
      <c r="A13" s="20">
        <v>2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28B5-B248-4DC9-97BD-0B7E54EEAB8E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6" t="s">
        <v>113</v>
      </c>
      <c r="B1" s="6" t="s">
        <v>4</v>
      </c>
      <c r="D1" s="21" t="s">
        <v>87</v>
      </c>
    </row>
    <row r="2" spans="1:4" ht="25" customHeight="1" x14ac:dyDescent="0.25">
      <c r="A2" s="20" t="s">
        <v>114</v>
      </c>
      <c r="B2" s="20">
        <v>9</v>
      </c>
      <c r="D2" s="23" t="s">
        <v>117</v>
      </c>
    </row>
    <row r="3" spans="1:4" ht="25" customHeight="1" x14ac:dyDescent="0.25">
      <c r="A3" s="20" t="s">
        <v>115</v>
      </c>
      <c r="B3" s="20">
        <v>11</v>
      </c>
      <c r="D3" s="22"/>
    </row>
    <row r="4" spans="1:4" ht="25" customHeight="1" x14ac:dyDescent="0.25">
      <c r="A4" s="20" t="s">
        <v>116</v>
      </c>
      <c r="B4" s="20">
        <v>5</v>
      </c>
      <c r="D4" s="23" t="s">
        <v>118</v>
      </c>
    </row>
    <row r="5" spans="1:4" x14ac:dyDescent="0.25">
      <c r="D5" s="22"/>
    </row>
    <row r="6" spans="1:4" x14ac:dyDescent="0.25">
      <c r="D6" s="22"/>
    </row>
    <row r="7" spans="1:4" x14ac:dyDescent="0.25">
      <c r="D7" s="22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8020-4CDD-4B1E-A5E1-DF83B18D13A4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6" t="s">
        <v>119</v>
      </c>
      <c r="B1" s="6" t="s">
        <v>120</v>
      </c>
      <c r="C1" s="6" t="s">
        <v>121</v>
      </c>
      <c r="E1" s="21" t="s">
        <v>87</v>
      </c>
    </row>
    <row r="2" spans="1:5" ht="25" customHeight="1" x14ac:dyDescent="0.25">
      <c r="A2" s="20" t="s">
        <v>122</v>
      </c>
      <c r="B2" s="20">
        <v>12</v>
      </c>
      <c r="C2" s="20">
        <v>20</v>
      </c>
      <c r="E2" s="23" t="s">
        <v>125</v>
      </c>
    </row>
    <row r="3" spans="1:5" ht="25" customHeight="1" x14ac:dyDescent="0.25">
      <c r="A3" s="20" t="s">
        <v>123</v>
      </c>
      <c r="B3" s="20">
        <v>14</v>
      </c>
      <c r="C3" s="20">
        <v>20</v>
      </c>
      <c r="E3" s="22"/>
    </row>
    <row r="4" spans="1:5" ht="25" customHeight="1" x14ac:dyDescent="0.25">
      <c r="A4" s="20" t="s">
        <v>124</v>
      </c>
      <c r="B4" s="20">
        <v>6</v>
      </c>
      <c r="C4" s="20">
        <v>20</v>
      </c>
      <c r="E4" s="23" t="s">
        <v>126</v>
      </c>
    </row>
    <row r="5" spans="1:5" x14ac:dyDescent="0.25">
      <c r="E5" s="22"/>
    </row>
    <row r="6" spans="1:5" x14ac:dyDescent="0.25">
      <c r="E6" s="22"/>
    </row>
    <row r="7" spans="1:5" x14ac:dyDescent="0.25">
      <c r="E7" s="22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FC7E-B9B1-4F3C-8B3A-022450CCC88F}">
  <dimension ref="A1:C1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6" t="s">
        <v>127</v>
      </c>
      <c r="C1" s="21" t="s">
        <v>87</v>
      </c>
    </row>
    <row r="2" spans="1:3" ht="25" customHeight="1" x14ac:dyDescent="0.25">
      <c r="A2" s="20">
        <v>0</v>
      </c>
      <c r="C2" s="23" t="s">
        <v>128</v>
      </c>
    </row>
    <row r="3" spans="1:3" ht="25" customHeight="1" x14ac:dyDescent="0.25">
      <c r="A3" s="20">
        <v>1</v>
      </c>
      <c r="C3" s="22"/>
    </row>
    <row r="4" spans="1:3" ht="25" customHeight="1" x14ac:dyDescent="0.25">
      <c r="A4" s="20">
        <v>1</v>
      </c>
      <c r="C4" s="23" t="s">
        <v>89</v>
      </c>
    </row>
    <row r="5" spans="1:3" ht="25" customHeight="1" x14ac:dyDescent="0.25">
      <c r="A5" s="20">
        <v>2</v>
      </c>
      <c r="C5" s="22"/>
    </row>
    <row r="6" spans="1:3" ht="25" customHeight="1" x14ac:dyDescent="0.25">
      <c r="A6" s="20">
        <v>2</v>
      </c>
      <c r="C6" s="22"/>
    </row>
    <row r="7" spans="1:3" ht="25" customHeight="1" x14ac:dyDescent="0.25">
      <c r="A7" s="20">
        <v>2</v>
      </c>
      <c r="C7" s="22"/>
    </row>
    <row r="8" spans="1:3" ht="25" customHeight="1" x14ac:dyDescent="0.25">
      <c r="A8" s="20">
        <v>3</v>
      </c>
    </row>
    <row r="9" spans="1:3" ht="25" customHeight="1" x14ac:dyDescent="0.25">
      <c r="A9" s="20">
        <v>4</v>
      </c>
    </row>
    <row r="10" spans="1:3" ht="25" customHeight="1" x14ac:dyDescent="0.25">
      <c r="A10" s="20">
        <v>4</v>
      </c>
    </row>
    <row r="11" spans="1:3" ht="25" customHeight="1" x14ac:dyDescent="0.25">
      <c r="A11" s="20">
        <v>5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A013-0A29-48EB-BF14-19138E6CB3B9}">
  <dimension ref="A1:C9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6" t="s">
        <v>129</v>
      </c>
      <c r="C1" s="21" t="s">
        <v>87</v>
      </c>
    </row>
    <row r="2" spans="1:3" ht="25" customHeight="1" x14ac:dyDescent="0.25">
      <c r="A2" s="20">
        <v>5</v>
      </c>
      <c r="C2" s="23" t="s">
        <v>130</v>
      </c>
    </row>
    <row r="3" spans="1:3" ht="25" customHeight="1" x14ac:dyDescent="0.25">
      <c r="A3" s="20">
        <v>5.5</v>
      </c>
      <c r="C3" s="22"/>
    </row>
    <row r="4" spans="1:3" ht="25" customHeight="1" x14ac:dyDescent="0.25">
      <c r="A4" s="20">
        <v>6</v>
      </c>
      <c r="C4" s="23" t="s">
        <v>131</v>
      </c>
    </row>
    <row r="5" spans="1:3" ht="25" customHeight="1" x14ac:dyDescent="0.25">
      <c r="A5" s="20">
        <v>6</v>
      </c>
      <c r="C5" s="22"/>
    </row>
    <row r="6" spans="1:3" ht="25" customHeight="1" x14ac:dyDescent="0.25">
      <c r="A6" s="20">
        <v>6.5</v>
      </c>
      <c r="C6" s="22"/>
    </row>
    <row r="7" spans="1:3" ht="25" customHeight="1" x14ac:dyDescent="0.25">
      <c r="A7" s="20">
        <v>7</v>
      </c>
      <c r="C7" s="22"/>
    </row>
    <row r="8" spans="1:3" ht="25" customHeight="1" x14ac:dyDescent="0.25">
      <c r="A8" s="20">
        <v>7.5</v>
      </c>
    </row>
    <row r="9" spans="1:3" ht="25" customHeight="1" x14ac:dyDescent="0.25">
      <c r="A9" s="20">
        <v>8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828C-B2D3-4518-A36E-3B611E5FAC89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6" t="s">
        <v>132</v>
      </c>
      <c r="B1" s="6" t="s">
        <v>133</v>
      </c>
      <c r="D1" s="21" t="s">
        <v>87</v>
      </c>
    </row>
    <row r="2" spans="1:4" ht="25" customHeight="1" x14ac:dyDescent="0.25">
      <c r="A2" s="20">
        <v>2</v>
      </c>
      <c r="B2" s="20" t="s">
        <v>134</v>
      </c>
      <c r="D2" s="23" t="s">
        <v>137</v>
      </c>
    </row>
    <row r="3" spans="1:4" ht="25" customHeight="1" x14ac:dyDescent="0.25">
      <c r="A3" s="20">
        <v>3</v>
      </c>
      <c r="B3" s="20" t="s">
        <v>135</v>
      </c>
      <c r="D3" s="22"/>
    </row>
    <row r="4" spans="1:4" ht="25" customHeight="1" x14ac:dyDescent="0.25">
      <c r="A4" s="20">
        <v>4</v>
      </c>
      <c r="B4" s="20" t="s">
        <v>136</v>
      </c>
      <c r="D4" s="23" t="s">
        <v>138</v>
      </c>
    </row>
    <row r="5" spans="1:4" x14ac:dyDescent="0.25">
      <c r="D5" s="22"/>
    </row>
    <row r="6" spans="1:4" x14ac:dyDescent="0.25">
      <c r="D6" s="22"/>
    </row>
    <row r="7" spans="1:4" x14ac:dyDescent="0.25">
      <c r="D7" s="22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44AB-0B1B-4C5F-B2FE-F08D1EBD0BD5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6" t="s">
        <v>139</v>
      </c>
      <c r="B1" s="6" t="s">
        <v>114</v>
      </c>
      <c r="C1" s="6" t="s">
        <v>14</v>
      </c>
      <c r="E1" s="21" t="s">
        <v>87</v>
      </c>
    </row>
    <row r="2" spans="1:5" ht="25" customHeight="1" x14ac:dyDescent="0.25">
      <c r="A2" s="20" t="s">
        <v>140</v>
      </c>
      <c r="B2" s="20">
        <v>30</v>
      </c>
      <c r="C2" s="20">
        <v>40</v>
      </c>
      <c r="E2" s="23" t="s">
        <v>142</v>
      </c>
    </row>
    <row r="3" spans="1:5" ht="25" customHeight="1" x14ac:dyDescent="0.25">
      <c r="A3" s="20" t="s">
        <v>141</v>
      </c>
      <c r="B3" s="20">
        <v>32</v>
      </c>
      <c r="C3" s="20">
        <v>80</v>
      </c>
      <c r="E3" s="22"/>
    </row>
    <row r="4" spans="1:5" x14ac:dyDescent="0.25">
      <c r="E4" s="23" t="s">
        <v>89</v>
      </c>
    </row>
    <row r="5" spans="1:5" x14ac:dyDescent="0.25">
      <c r="E5" s="22"/>
    </row>
    <row r="6" spans="1:5" x14ac:dyDescent="0.25">
      <c r="E6" s="22"/>
    </row>
    <row r="7" spans="1:5" x14ac:dyDescent="0.25">
      <c r="E7" s="22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16</vt:i4>
      </vt:variant>
    </vt:vector>
  </HeadingPairs>
  <TitlesOfParts>
    <vt:vector size="16" baseType="lpstr">
      <vt:lpstr>Prehled</vt:lpstr>
      <vt:lpstr>Cetnosti</vt:lpstr>
      <vt:lpstr>Histogram</vt:lpstr>
      <vt:lpstr>Data</vt:lpstr>
      <vt:lpstr>Sest_osob</vt:lpstr>
      <vt:lpstr>Strategie</vt:lpstr>
      <vt:lpstr>Tvary</vt:lpstr>
      <vt:lpstr>Podlaha_strop</vt:lpstr>
      <vt:lpstr>Stonek</vt:lpstr>
      <vt:lpstr>U01_odpocatost</vt:lpstr>
      <vt:lpstr>U03_chybeni</vt:lpstr>
      <vt:lpstr>U03_ruseni</vt:lpstr>
      <vt:lpstr>U04_chyby</vt:lpstr>
      <vt:lpstr>U05_spanek</vt:lpstr>
      <vt:lpstr>U08_stonek</vt:lpstr>
      <vt:lpstr>Podpora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2026-10-11T22:49:49Z</dcterms:created>
  <dcterms:modified xsi:type="dcterms:W3CDTF">2026-10-11T22:49:56Z</dcterms:modified>
</cp:coreProperties>
</file>