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7A78DEB-B80B-4C74-9752-CE08F813CBF7}" xr6:coauthVersionLast="47" xr6:coauthVersionMax="47" xr10:uidLastSave="{00000000-0000-0000-0000-000000000000}"/>
  <bookViews>
    <workbookView xWindow="-109" yWindow="-109" windowWidth="34995" windowHeight="19060" xr2:uid="{F9AAF36E-E5DB-4BD1-865C-AC2811E97730}"/>
  </bookViews>
  <sheets>
    <sheet name="Prehled" sheetId="1" r:id="rId1"/>
    <sheet name="Priklad" sheetId="2" r:id="rId2"/>
    <sheet name="Souhrn" sheetId="3" r:id="rId3"/>
    <sheet name="Rozsireni" sheetId="4" r:id="rId4"/>
    <sheet name="Kontrola_prikladu" sheetId="5" r:id="rId5"/>
    <sheet name="Data" sheetId="6" r:id="rId6"/>
    <sheet name="Zaklad_data" sheetId="7" r:id="rId7"/>
    <sheet name="Stejny_prumer" sheetId="8" r:id="rId8"/>
    <sheet name="Dva_mody" sheetId="9" r:id="rId9"/>
    <sheet name="Sudy_median" sheetId="10" r:id="rId10"/>
    <sheet name="Percentil_ctyri" sheetId="11" r:id="rId11"/>
    <sheet name="Transformace" sheetId="12" r:id="rId12"/>
    <sheet name="Ordinalni_kvantily" sheetId="13" r:id="rId13"/>
    <sheet name="Vazeny_prumer" sheetId="14" r:id="rId14"/>
    <sheet name="Vyjimky_stredu" sheetId="15" r:id="rId15"/>
    <sheet name="Kvantily" sheetId="16" r:id="rId16"/>
    <sheet name="Orezani" sheetId="17" r:id="rId17"/>
    <sheet name="Boxplot" sheetId="18" r:id="rId18"/>
    <sheet name="Populace" sheetId="19" r:id="rId19"/>
    <sheet name="Spicatost" sheetId="20" r:id="rId20"/>
    <sheet name="U01_stred" sheetId="21" r:id="rId21"/>
    <sheet name="U02_skupiny" sheetId="22" r:id="rId22"/>
    <sheet name="U03_kvantily" sheetId="23" r:id="rId23"/>
    <sheet name="U04_kategorie" sheetId="24" r:id="rId24"/>
    <sheet name="U05_variabilita" sheetId="25" r:id="rId25"/>
    <sheet name="U06_simulace" sheetId="26" r:id="rId26"/>
    <sheet name="U07_MedAD" sheetId="27" r:id="rId27"/>
    <sheet name="U09_boxplot" sheetId="28" r:id="rId28"/>
    <sheet name="U10_transformace" sheetId="29" r:id="rId29"/>
    <sheet name="U11_strategie" sheetId="30" r:id="rId30"/>
    <sheet name="Entropie_data" sheetId="31" r:id="rId31"/>
    <sheet name="U15_sikmost" sheetId="3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2" i="5" l="1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C11" i="5"/>
  <c r="C10" i="5"/>
  <c r="C9" i="5"/>
  <c r="C8" i="5"/>
  <c r="C7" i="5"/>
  <c r="C6" i="5"/>
  <c r="C5" i="5"/>
  <c r="C4" i="5"/>
  <c r="C3" i="5"/>
  <c r="C2" i="5"/>
  <c r="A12" i="5"/>
  <c r="A11" i="5"/>
  <c r="A10" i="5"/>
  <c r="A9" i="5"/>
  <c r="A8" i="5"/>
  <c r="A7" i="5"/>
  <c r="A6" i="5"/>
  <c r="A5" i="5"/>
  <c r="A4" i="5"/>
  <c r="A3" i="5"/>
  <c r="A2" i="5"/>
  <c r="J6" i="4"/>
  <c r="J4" i="4"/>
  <c r="J3" i="4"/>
  <c r="C3" i="4"/>
  <c r="D3" i="4" s="1"/>
  <c r="C4" i="4"/>
  <c r="D4" i="4" s="1"/>
  <c r="C5" i="4"/>
  <c r="D5" i="4" s="1"/>
  <c r="C2" i="4"/>
  <c r="D2" i="4" s="1"/>
  <c r="C13" i="3"/>
  <c r="B13" i="3"/>
  <c r="C12" i="3"/>
  <c r="B12" i="3"/>
  <c r="C11" i="3"/>
  <c r="B11" i="3"/>
  <c r="C10" i="3"/>
  <c r="B10" i="3"/>
  <c r="C8" i="3"/>
  <c r="C9" i="3" s="1"/>
  <c r="B8" i="3"/>
  <c r="B9" i="3" s="1"/>
  <c r="C7" i="3"/>
  <c r="B7" i="3"/>
  <c r="C6" i="3"/>
  <c r="B6" i="3"/>
  <c r="C5" i="3"/>
  <c r="B5" i="3"/>
  <c r="C4" i="3"/>
  <c r="B4" i="3"/>
  <c r="C3" i="3"/>
  <c r="B3" i="3"/>
  <c r="C2" i="3"/>
  <c r="B2" i="3"/>
  <c r="J16" i="2"/>
  <c r="J15" i="2"/>
  <c r="J9" i="2"/>
  <c r="J11" i="2" s="1"/>
  <c r="J8" i="2"/>
  <c r="J7" i="2"/>
  <c r="J6" i="2"/>
  <c r="J10" i="2" s="1"/>
  <c r="J5" i="2"/>
  <c r="J4" i="2"/>
  <c r="E4" i="2" s="1"/>
  <c r="J3" i="2"/>
  <c r="B3" i="2" s="1"/>
  <c r="J2" i="2"/>
  <c r="H7" i="5" l="1"/>
  <c r="H4" i="5"/>
  <c r="H2" i="5"/>
  <c r="D7" i="4"/>
  <c r="C3" i="2"/>
  <c r="D3" i="2"/>
  <c r="F3" i="2"/>
  <c r="G3" i="2"/>
  <c r="B6" i="2"/>
  <c r="B4" i="2"/>
  <c r="B2" i="2"/>
  <c r="E3" i="2"/>
  <c r="E6" i="2"/>
  <c r="H3" i="5"/>
  <c r="E2" i="2"/>
  <c r="E5" i="2"/>
  <c r="B5" i="2"/>
  <c r="H5" i="5"/>
  <c r="H8" i="5" s="1"/>
  <c r="H6" i="5"/>
  <c r="F6" i="2" l="1"/>
  <c r="G6" i="2"/>
  <c r="C6" i="2"/>
  <c r="D6" i="2"/>
  <c r="G2" i="2"/>
  <c r="F2" i="2"/>
  <c r="D2" i="2"/>
  <c r="C2" i="2"/>
  <c r="F4" i="2"/>
  <c r="G4" i="2"/>
  <c r="C4" i="2"/>
  <c r="D4" i="2"/>
  <c r="C5" i="2"/>
  <c r="D5" i="2"/>
  <c r="F5" i="2"/>
  <c r="G5" i="2"/>
  <c r="J17" i="2"/>
  <c r="J12" i="2" l="1"/>
  <c r="J13" i="2"/>
  <c r="J14" i="2" s="1"/>
  <c r="J2" i="4" l="1"/>
  <c r="J5" i="4"/>
</calcChain>
</file>

<file path=xl/sharedStrings.xml><?xml version="1.0" encoding="utf-8"?>
<sst xmlns="http://schemas.openxmlformats.org/spreadsheetml/2006/main" count="443" uniqueCount="283">
  <si>
    <t>Doba (min)</t>
  </si>
  <si>
    <t>Odchylka od průměru</t>
  </si>
  <si>
    <t>Absolutní odchylka</t>
  </si>
  <si>
    <t>Čtverec odchylky</t>
  </si>
  <si>
    <t>Absolutní odchylka od mediánu</t>
  </si>
  <si>
    <t>Třetí mocnina</t>
  </si>
  <si>
    <t>Čtvrtá mocnina</t>
  </si>
  <si>
    <t>Ukazatel</t>
  </si>
  <si>
    <t>Výsledek</t>
  </si>
  <si>
    <t>Počet platných údajů</t>
  </si>
  <si>
    <t>Průměr (min)</t>
  </si>
  <si>
    <t>Medián (min)</t>
  </si>
  <si>
    <t>Modus (min)</t>
  </si>
  <si>
    <t>Minimum (min)</t>
  </si>
  <si>
    <t>Maximum (min)</t>
  </si>
  <si>
    <t>1. kvartil (min)</t>
  </si>
  <si>
    <t>3. kvartil (min)</t>
  </si>
  <si>
    <t>Variační rozpětí (min)</t>
  </si>
  <si>
    <t>Mezikvartilové rozpětí (min)</t>
  </si>
  <si>
    <t>Průměrná abs. odchylka (min)</t>
  </si>
  <si>
    <t>Součet čtverců (min²)</t>
  </si>
  <si>
    <t>Rozptyl s dělením n (min²)</t>
  </si>
  <si>
    <t>Výběrový rozptyl (min²)</t>
  </si>
  <si>
    <t>Výběrová směr. odchylka (min)</t>
  </si>
  <si>
    <t>Medián abs. odchylek (min)</t>
  </si>
  <si>
    <t>Autorský příklad: pět vyplněných číselných časů. Žluté buňky jsou vstupy, modré vzorce.</t>
  </si>
  <si>
    <t>Změňte 10 na 30 minut a porovnejte průměr, medián a variabilitu. Potom obnovte 10.</t>
  </si>
  <si>
    <t>Sloupce F a G patří k nepovinnému rozšíření. Výsledky jsou na listu Rozsireni.</t>
  </si>
  <si>
    <t>Nemažte jednotlivé vstupy: pomocné odchylky v tomto malém příkladu předpokládají všech pět čísel.</t>
  </si>
  <si>
    <t>Kvartily: PERCENTIL.INC. Medián absolutních odchylek je bez násobení korekční konstantou.</t>
  </si>
  <si>
    <t>Výsledky se zobrazují na dvě desetinná místa; vzorce pracují s plnou přesností.</t>
  </si>
  <si>
    <t>Spánek (hodiny)</t>
  </si>
  <si>
    <t>Paměť (slova)</t>
  </si>
  <si>
    <t>Význam</t>
  </si>
  <si>
    <t>Počet</t>
  </si>
  <si>
    <t>Počet zaznamenaných čísel</t>
  </si>
  <si>
    <t>Průměr</t>
  </si>
  <si>
    <t>Součet dělený platným počtem</t>
  </si>
  <si>
    <t>Medián</t>
  </si>
  <si>
    <t>Prostřední poloha</t>
  </si>
  <si>
    <t>Minimum</t>
  </si>
  <si>
    <t>Nejnižší hodnota</t>
  </si>
  <si>
    <t>Maximum</t>
  </si>
  <si>
    <t>Nejvyšší hodnota</t>
  </si>
  <si>
    <t>1. kvartil</t>
  </si>
  <si>
    <t>Interpolace při podílu 0,25</t>
  </si>
  <si>
    <t>3. kvartil</t>
  </si>
  <si>
    <t>Interpolace při podílu 0,75</t>
  </si>
  <si>
    <t>Mezikvartilové rozpětí</t>
  </si>
  <si>
    <t>3. kvartil minus 1. kvartil</t>
  </si>
  <si>
    <t>Výběrový rozptyl</t>
  </si>
  <si>
    <t>Ve čtvercích příslušných jednotek</t>
  </si>
  <si>
    <t>Směrodatná odchylka</t>
  </si>
  <si>
    <t>V původních jednotkách</t>
  </si>
  <si>
    <t>Šikmost</t>
  </si>
  <si>
    <t>Znaménko: delší chvost; bez jednotky</t>
  </si>
  <si>
    <t>Exces</t>
  </si>
  <si>
    <t>Kladný: více velmi vzdálených hodnot než u normálního modelu</t>
  </si>
  <si>
    <t>Spánek: tři údaje chybějí. Paměť: nula vybavených slov je platný výsledek.</t>
  </si>
  <si>
    <t>Při přidávání řádků rozšiřte oblasti ve vzorcích. Každý sloupec má vlastní počet platných údajů.</t>
  </si>
  <si>
    <t>Strategie</t>
  </si>
  <si>
    <t>Četnost</t>
  </si>
  <si>
    <t>Podíl</t>
  </si>
  <si>
    <t>Příspěvek k entropii</t>
  </si>
  <si>
    <t>A</t>
  </si>
  <si>
    <t>B</t>
  </si>
  <si>
    <t>C</t>
  </si>
  <si>
    <t>D</t>
  </si>
  <si>
    <t>Entropie celkem (bity)</t>
  </si>
  <si>
    <t>Tvar průběžného příkladu</t>
  </si>
  <si>
    <t>Základní šikmost: výpočet</t>
  </si>
  <si>
    <t>Základní šikmost: SKEW.P</t>
  </si>
  <si>
    <t>Korigovaná šikmost: SKEW</t>
  </si>
  <si>
    <t>Základní exces: výpočet</t>
  </si>
  <si>
    <t>Korigovaný exces: KURT</t>
  </si>
  <si>
    <t>Nepovinné rozšíření. Entropie vlevo popisuje strategie učení; koeficienty vpravo časy na listu Priklad.</t>
  </si>
  <si>
    <t>Četnosti musí být nezáporné a celkový počet kladný. Nulová četnost má nulový příspěvek.</t>
  </si>
  <si>
    <t>SKEW.P a SKEW používají různé konvence. KURT vrací korigovaný exces, nikoli špičatost před odečtením tří.</t>
  </si>
  <si>
    <t>Použití a původ</t>
  </si>
  <si>
    <t>Střed, odchylky, percentilové pořadí</t>
  </si>
  <si>
    <t>Samostatné vstupy k procvičení. Hotové výpočty jsou na listu Priklad. Varianta: nahraďte 10 hodnotou 30.</t>
  </si>
  <si>
    <t>Soubor A (min)</t>
  </si>
  <si>
    <t>Soubor B (min)</t>
  </si>
  <si>
    <t>Obrázek: stejný průměr, různá variabilita</t>
  </si>
  <si>
    <t>Autorské ilustrační údaje. Nejde o skutečný výzkum.</t>
  </si>
  <si>
    <t>Hodnota</t>
  </si>
  <si>
    <t>Výklad modu</t>
  </si>
  <si>
    <t>Výklad mediánu</t>
  </si>
  <si>
    <t>Výklad: 30. percentil a podíl pozorování</t>
  </si>
  <si>
    <t>Původní skór</t>
  </si>
  <si>
    <t>Výklad a obrázek: lineární a nelineární převod</t>
  </si>
  <si>
    <t>Porovnejte pravidla y = 2 + 3x a y = x². Další příklad obrácení škály 0–10 používá y = 10 − x.</t>
  </si>
  <si>
    <t>Kategorie</t>
  </si>
  <si>
    <t>Běžný kód</t>
  </si>
  <si>
    <t>Alternativní kód</t>
  </si>
  <si>
    <t>Vůbec</t>
  </si>
  <si>
    <t>Trochu</t>
  </si>
  <si>
    <t>Dost</t>
  </si>
  <si>
    <t>Zcela</t>
  </si>
  <si>
    <t>Výklad: kvantil odpočatosti</t>
  </si>
  <si>
    <t>Stejných šest odpovědí při dvou kódováních. Kódy zachovávají pořadí, nikoli měřené vzdálenosti.</t>
  </si>
  <si>
    <t>Skupina</t>
  </si>
  <si>
    <t>Počet lidí</t>
  </si>
  <si>
    <t>Průměrná doba (min)</t>
  </si>
  <si>
    <t>Výklad: spojení skupin</t>
  </si>
  <si>
    <t>Zadány jsou pouze velikosti skupin a průměry. Jednotlivé časy nejsou známy.</t>
  </si>
  <si>
    <t>Počet pokusů (A)</t>
  </si>
  <si>
    <t>Četnost A</t>
  </si>
  <si>
    <t>Počet chyb (B)</t>
  </si>
  <si>
    <t>Četnost B</t>
  </si>
  <si>
    <t>Obrázek: výjimky z pořadí ukazatelů středu</t>
  </si>
  <si>
    <t>Autorské modelové četnosti: A 100 lidí, B 20 lidí. Řádek je hodnota s četností, nikoli jeden účastník.</t>
  </si>
  <si>
    <t>Výklad interpolace; cvičení 3 (druhá část)</t>
  </si>
  <si>
    <t>Výklad: 10 %; cvičení 8: 20 % na každém konci</t>
  </si>
  <si>
    <t>Skór (body)</t>
  </si>
  <si>
    <t>Výklad: krabicový graf</t>
  </si>
  <si>
    <t>Simulace korekce rozptylu</t>
  </si>
  <si>
    <t>Známá modelová populace. Nezávislé výběry s vracením: velikosti 5, 20 a 100; po 20 000 opakováních. Graf shrnuje simulaci, nikoli další měření lidí.</t>
  </si>
  <si>
    <t>Skór</t>
  </si>
  <si>
    <t>Četnost vlevo</t>
  </si>
  <si>
    <t>Četnost vpravo</t>
  </si>
  <si>
    <t>Obrázek: stejný vrchol; nepovinné cvičení 15</t>
  </si>
  <si>
    <t>Cvičení 1</t>
  </si>
  <si>
    <t>Průměr (slova)</t>
  </si>
  <si>
    <t>Cvičení 2</t>
  </si>
  <si>
    <t>Alternativní otázka: co kdyby údaje 6 a 9 byly pouze mediány? Individuální výkony nejsou zadány.</t>
  </si>
  <si>
    <t>Cvičení 3 (první část)</t>
  </si>
  <si>
    <t>Odpočatost</t>
  </si>
  <si>
    <t>Kód</t>
  </si>
  <si>
    <t>Cvičení 4</t>
  </si>
  <si>
    <t>Cvičení 5</t>
  </si>
  <si>
    <t>Veličina</t>
  </si>
  <si>
    <t>Jednotka</t>
  </si>
  <si>
    <t>Rozptyl populace</t>
  </si>
  <si>
    <t>min²</t>
  </si>
  <si>
    <t>Velikost výběru</t>
  </si>
  <si>
    <t>pozorování</t>
  </si>
  <si>
    <t>Průměr rozptylů s dělením n</t>
  </si>
  <si>
    <t>Průměr rozptylů s dělením n−1</t>
  </si>
  <si>
    <t>Cvičení 6: zadané souhrny</t>
  </si>
  <si>
    <t>Zaokrouhlené souhrny simulace ze zadání. Nejde o jednotlivá pozorování.</t>
  </si>
  <si>
    <t>Cvičení 7</t>
  </si>
  <si>
    <t>Autorské údaje. Ve druhé části nahraďte poslední hodnotu 100 minutami.</t>
  </si>
  <si>
    <t>Cvičení 9</t>
  </si>
  <si>
    <t>Vstup</t>
  </si>
  <si>
    <t>min</t>
  </si>
  <si>
    <t>Přičítaný čas</t>
  </si>
  <si>
    <t>Sekund za minutu</t>
  </si>
  <si>
    <t>s/min</t>
  </si>
  <si>
    <t>Cvičení 10</t>
  </si>
  <si>
    <t>Zadány jsou souhrny, nikoli jednotlivé doby.</t>
  </si>
  <si>
    <t>Skupina A</t>
  </si>
  <si>
    <t>Skupina B</t>
  </si>
  <si>
    <t>Cvičení 11</t>
  </si>
  <si>
    <t>Výklad; nepovinné cvičení 14</t>
  </si>
  <si>
    <t>Výchozí tři kategorie A–C; D je rozšíření s nulovou četností. Další varianta: 8, 0, 0, 0.</t>
  </si>
  <si>
    <t>Nepovinné cvičení 15</t>
  </si>
  <si>
    <t>Data ke kapitole 3</t>
  </si>
  <si>
    <t>Začněte vstupy. Žluté buňky obsahují data; modré buňky na výpočtových listech vzorce.</t>
  </si>
  <si>
    <t>Zadání a vysvětlení jsou v kapitole. Řešení otevírejte až po vlastním pokusu.</t>
  </si>
  <si>
    <t>Slovní úlohy bez konkrétních pozorování nevyžadují vlastní datový list.</t>
  </si>
  <si>
    <t>Hladké modelové křivky jsou modely, nikoli další soubory naměřených hodnot.</t>
  </si>
  <si>
    <t>List</t>
  </si>
  <si>
    <t>Oblast vstupů / tabulky</t>
  </si>
  <si>
    <t>Příklad nebo cvičení</t>
  </si>
  <si>
    <t>Zaklad_data</t>
  </si>
  <si>
    <t>A2:A6</t>
  </si>
  <si>
    <t>Stejny_prumer</t>
  </si>
  <si>
    <t>A2:B6</t>
  </si>
  <si>
    <t>Dva_mody</t>
  </si>
  <si>
    <t>Sudy_median</t>
  </si>
  <si>
    <t>A2:A5</t>
  </si>
  <si>
    <t>Percentil_ctyri</t>
  </si>
  <si>
    <t>Transformace</t>
  </si>
  <si>
    <t>Ordinalni_kvantily</t>
  </si>
  <si>
    <t>A2:D5</t>
  </si>
  <si>
    <t>Vazeny_prumer</t>
  </si>
  <si>
    <t>A2:C3</t>
  </si>
  <si>
    <t>Vyjimky_stredu</t>
  </si>
  <si>
    <t>A2:D6</t>
  </si>
  <si>
    <t>Kvantily</t>
  </si>
  <si>
    <t>A2:A12</t>
  </si>
  <si>
    <t>Orezani</t>
  </si>
  <si>
    <t>A2:A11</t>
  </si>
  <si>
    <t>Boxplot</t>
  </si>
  <si>
    <t>A2:A42</t>
  </si>
  <si>
    <t>Populace</t>
  </si>
  <si>
    <t>Spicatost</t>
  </si>
  <si>
    <t>A2:C6</t>
  </si>
  <si>
    <t>U01_stred</t>
  </si>
  <si>
    <t>A2:A7</t>
  </si>
  <si>
    <t>U02_skupiny</t>
  </si>
  <si>
    <t>U03_kvantily</t>
  </si>
  <si>
    <t>U04_kategorie</t>
  </si>
  <si>
    <t>A2:B5</t>
  </si>
  <si>
    <t>U05_variabilita</t>
  </si>
  <si>
    <t>A2:A4</t>
  </si>
  <si>
    <t>U06_simulace</t>
  </si>
  <si>
    <t>A2:C5</t>
  </si>
  <si>
    <t>U07_MedAD</t>
  </si>
  <si>
    <t>U09_boxplot</t>
  </si>
  <si>
    <t>A2:A9</t>
  </si>
  <si>
    <t>U10_transformace</t>
  </si>
  <si>
    <t>U11_strategie</t>
  </si>
  <si>
    <t>Entropie_data</t>
  </si>
  <si>
    <t>U15_sikmost</t>
  </si>
  <si>
    <t>Data</t>
  </si>
  <si>
    <t>A2:E37</t>
  </si>
  <si>
    <t>Spánek a paměť; cvičení 12</t>
  </si>
  <si>
    <t>Priklad</t>
  </si>
  <si>
    <t>A1:J21</t>
  </si>
  <si>
    <t>Hotové výpočty pro pět časů</t>
  </si>
  <si>
    <t>Souhrn</t>
  </si>
  <si>
    <t>A1:D16</t>
  </si>
  <si>
    <t>Hotový souhrn spánku a paměti</t>
  </si>
  <si>
    <t>Rozsireni</t>
  </si>
  <si>
    <t>A1:J14</t>
  </si>
  <si>
    <t>Hotové nepovinné výpočty</t>
  </si>
  <si>
    <t>Kontrola_prikladu</t>
  </si>
  <si>
    <t>A1:H42</t>
  </si>
  <si>
    <t>Kontrolní výpočty; vstupy na Kvantily, Orezani, Boxplot</t>
  </si>
  <si>
    <t>Doby pro kvantily (min)</t>
  </si>
  <si>
    <t>Doby pro ořezání (min)</t>
  </si>
  <si>
    <t>Skóry pro krabicový graf (body)</t>
  </si>
  <si>
    <t>17. percentil jedenácti dob (min)</t>
  </si>
  <si>
    <t>Průměr deseti dob (min)</t>
  </si>
  <si>
    <t>Medián deseti dob (min)</t>
  </si>
  <si>
    <t>1. kvartil skórů (body)</t>
  </si>
  <si>
    <t>Medián skórů (body)</t>
  </si>
  <si>
    <t>3. kvartil skórů (body)</t>
  </si>
  <si>
    <t>Mezikvartilové rozpětí skórů (body)</t>
  </si>
  <si>
    <t>Kontrola příkladů. Vstupy měňte na listech Kvantily, Orezani a Boxplot.</t>
  </si>
  <si>
    <t>Ořezání a winsorizaci proveďte podle výkladu ručně; sešit je záměrně nepočítá.</t>
  </si>
  <si>
    <t>id</t>
  </si>
  <si>
    <t>spanek_h</t>
  </si>
  <si>
    <t>slova</t>
  </si>
  <si>
    <t>cast_dne</t>
  </si>
  <si>
    <t>odpocatost</t>
  </si>
  <si>
    <t>P01</t>
  </si>
  <si>
    <t>dopoledne</t>
  </si>
  <si>
    <t>P02</t>
  </si>
  <si>
    <t>odpoledne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</si>
  <si>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</si>
  <si>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</si>
  <si>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</si>
  <si>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</si>
  <si>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</si>
  <si>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</si>
  <si>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</si>
  <si>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</si>
  <si>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</si>
  <si>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</si>
  <si>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</si>
  <si>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</si>
  <si>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</si>
  <si>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</si>
  <si>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</si>
  <si>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</si>
  <si>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</si>
  <si>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</si>
  <si>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</si>
  <si>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</si>
  <si>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</si>
  <si>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</si>
  <si>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</si>
  <si>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</si>
  <si>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</si>
  <si>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</si>
  <si>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</si>
  <si>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</si>
  <si>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</si>
  <si>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</si>
  <si>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</si>
  <si>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</si>
  <si>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</si>
  <si>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</si>
  <si>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Modelová data z kapitoly o četnostech. Nejde o skutečný výzkum.</t>
  </si>
  <si>
    <t>Jeden řádek = jeden účastník při jedné návštěvě.</t>
  </si>
  <si>
    <t>spanek_h: spánek předchozí noci v hodinách. P05, P11 a P24 údaj neuvedli.</t>
  </si>
  <si>
    <t>slova: počet správně vybavených slov z dvanácti. Platné hodnoty 0 až 12.</t>
  </si>
  <si>
    <t>cast_dne: dopoledne před 12:00, odpoledne od 12:00.</t>
  </si>
  <si>
    <t>odpocatost: 1 = vůbec, 2 = trochu, 3 = dost, 4 = zcela.</t>
  </si>
  <si>
    <t>Úplné vymezení proměnných a postupu najdete v kapitole o četnostech.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</si>
</sst>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rgb="FF223744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526775"/>
      <name val="Arial"/>
      <family val="2"/>
      <charset val="238"/>
    </font>
    <font>
      <b/>
      <sz val="16"/>
      <color rgb="FF223744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234F62"/>
        <bgColor indexed="64"/>
      </patternFill>
    </fill>
    <fill>
      <patternFill patternType="solid">
        <fgColor rgb="FFFFF1CB"/>
        <bgColor indexed="64"/>
      </patternFill>
    </fill>
    <fill>
      <patternFill patternType="solid">
        <fgColor rgb="FFEAF4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2" fontId="1" fillId="3" borderId="0" xfId="0" applyNumberFormat="1" applyFont="1" applyFill="1" applyAlignment="1">
      <alignment vertical="center"/>
    </xf>
    <xf numFmtId="2" fontId="1" fillId="4" borderId="0" xfId="0" applyNumberFormat="1" applyFont="1" applyFill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4" borderId="0" xfId="0" applyNumberFormat="1" applyFont="1" applyFill="1" applyAlignment="1">
      <alignment vertical="center"/>
    </xf>
    <xf numFmtId="2" fontId="3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1" fillId="4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1" fillId="3" borderId="0" xfId="0" applyNumberFormat="1" applyFont="1" applyFill="1" applyAlignment="1">
      <alignment vertical="center"/>
    </xf>
    <xf numFmtId="0" fontId="4" fillId="0" borderId="0" xfId="0" applyNumberFormat="1" applyFont="1" applyAlignment="1">
      <alignment vertical="center"/>
    </xf>
    <xf numFmtId="1" fontId="0" fillId="4" borderId="0" xfId="0" applyNumberFormat="1" applyFill="1"/>
    <xf numFmtId="165" fontId="1" fillId="3" borderId="0" xfId="0" applyNumberFormat="1" applyFont="1" applyFill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4576-2F32-44D3-9017-22F06108880D}">
  <dimension ref="A1:C41"/>
  <sheetViews>
    <sheetView showGridLines="0" tabSelected="1" workbookViewId="0">
      <pane ySplit="7" topLeftCell="A8" activePane="bottomLeft" state="frozenSplit"/>
      <selection pane="bottomLeft" sqref="A1:C1"/>
    </sheetView>
  </sheetViews>
  <sheetFormatPr defaultRowHeight="14.3" x14ac:dyDescent="0.25"/>
  <cols>
    <col min="1" max="2" width="25.625" customWidth="1"/>
    <col min="3" max="3" width="70.625" customWidth="1"/>
  </cols>
  <sheetData>
    <row r="1" spans="1:3" ht="30.1" customHeight="1" x14ac:dyDescent="0.25">
      <c r="A1" s="21" t="s">
        <v>157</v>
      </c>
      <c r="B1" s="11"/>
      <c r="C1" s="11"/>
    </row>
    <row r="2" spans="1:3" ht="30.1" customHeight="1" x14ac:dyDescent="0.25">
      <c r="A2" s="1"/>
      <c r="B2" s="1"/>
      <c r="C2" s="1"/>
    </row>
    <row r="3" spans="1:3" ht="30.1" customHeight="1" x14ac:dyDescent="0.25">
      <c r="A3" s="12" t="s">
        <v>158</v>
      </c>
      <c r="B3" s="11"/>
      <c r="C3" s="11"/>
    </row>
    <row r="4" spans="1:3" ht="30.1" customHeight="1" x14ac:dyDescent="0.25">
      <c r="A4" s="12" t="s">
        <v>159</v>
      </c>
      <c r="B4" s="11"/>
      <c r="C4" s="11"/>
    </row>
    <row r="5" spans="1:3" ht="30.1" customHeight="1" x14ac:dyDescent="0.25">
      <c r="A5" s="12" t="s">
        <v>160</v>
      </c>
      <c r="B5" s="11"/>
      <c r="C5" s="11"/>
    </row>
    <row r="6" spans="1:3" ht="30.1" customHeight="1" x14ac:dyDescent="0.25">
      <c r="A6" s="12" t="s">
        <v>161</v>
      </c>
      <c r="B6" s="11"/>
      <c r="C6" s="11"/>
    </row>
    <row r="7" spans="1:3" ht="30.1" customHeight="1" x14ac:dyDescent="0.25">
      <c r="A7" s="3" t="s">
        <v>162</v>
      </c>
      <c r="B7" s="3" t="s">
        <v>163</v>
      </c>
      <c r="C7" s="3" t="s">
        <v>164</v>
      </c>
    </row>
    <row r="8" spans="1:3" ht="30.1" customHeight="1" x14ac:dyDescent="0.25">
      <c r="A8" s="2" t="s">
        <v>165</v>
      </c>
      <c r="B8" s="2" t="s">
        <v>166</v>
      </c>
      <c r="C8" s="2" t="s">
        <v>79</v>
      </c>
    </row>
    <row r="9" spans="1:3" ht="30.1" customHeight="1" x14ac:dyDescent="0.25">
      <c r="A9" s="2" t="s">
        <v>167</v>
      </c>
      <c r="B9" s="2" t="s">
        <v>168</v>
      </c>
      <c r="C9" s="2" t="s">
        <v>83</v>
      </c>
    </row>
    <row r="10" spans="1:3" ht="30.1" customHeight="1" x14ac:dyDescent="0.25">
      <c r="A10" s="2" t="s">
        <v>169</v>
      </c>
      <c r="B10" s="2" t="s">
        <v>166</v>
      </c>
      <c r="C10" s="2" t="s">
        <v>86</v>
      </c>
    </row>
    <row r="11" spans="1:3" ht="30.1" customHeight="1" x14ac:dyDescent="0.25">
      <c r="A11" s="2" t="s">
        <v>170</v>
      </c>
      <c r="B11" s="2" t="s">
        <v>171</v>
      </c>
      <c r="C11" s="2" t="s">
        <v>87</v>
      </c>
    </row>
    <row r="12" spans="1:3" ht="30.1" customHeight="1" x14ac:dyDescent="0.25">
      <c r="A12" s="2" t="s">
        <v>172</v>
      </c>
      <c r="B12" s="2" t="s">
        <v>171</v>
      </c>
      <c r="C12" s="2" t="s">
        <v>88</v>
      </c>
    </row>
    <row r="13" spans="1:3" ht="30.1" customHeight="1" x14ac:dyDescent="0.25">
      <c r="A13" s="2" t="s">
        <v>173</v>
      </c>
      <c r="B13" s="2" t="s">
        <v>171</v>
      </c>
      <c r="C13" s="2" t="s">
        <v>90</v>
      </c>
    </row>
    <row r="14" spans="1:3" ht="30.1" customHeight="1" x14ac:dyDescent="0.25">
      <c r="A14" s="2" t="s">
        <v>174</v>
      </c>
      <c r="B14" s="2" t="s">
        <v>175</v>
      </c>
      <c r="C14" s="2" t="s">
        <v>99</v>
      </c>
    </row>
    <row r="15" spans="1:3" ht="30.1" customHeight="1" x14ac:dyDescent="0.25">
      <c r="A15" s="2" t="s">
        <v>176</v>
      </c>
      <c r="B15" s="2" t="s">
        <v>177</v>
      </c>
      <c r="C15" s="2" t="s">
        <v>104</v>
      </c>
    </row>
    <row r="16" spans="1:3" ht="30.1" customHeight="1" x14ac:dyDescent="0.25">
      <c r="A16" s="2" t="s">
        <v>178</v>
      </c>
      <c r="B16" s="2" t="s">
        <v>179</v>
      </c>
      <c r="C16" s="2" t="s">
        <v>110</v>
      </c>
    </row>
    <row r="17" spans="1:3" ht="30.1" customHeight="1" x14ac:dyDescent="0.25">
      <c r="A17" s="2" t="s">
        <v>180</v>
      </c>
      <c r="B17" s="2" t="s">
        <v>181</v>
      </c>
      <c r="C17" s="2" t="s">
        <v>112</v>
      </c>
    </row>
    <row r="18" spans="1:3" ht="30.1" customHeight="1" x14ac:dyDescent="0.25">
      <c r="A18" s="2" t="s">
        <v>182</v>
      </c>
      <c r="B18" s="2" t="s">
        <v>183</v>
      </c>
      <c r="C18" s="2" t="s">
        <v>113</v>
      </c>
    </row>
    <row r="19" spans="1:3" ht="30.1" customHeight="1" x14ac:dyDescent="0.25">
      <c r="A19" s="2" t="s">
        <v>184</v>
      </c>
      <c r="B19" s="2" t="s">
        <v>185</v>
      </c>
      <c r="C19" s="2" t="s">
        <v>115</v>
      </c>
    </row>
    <row r="20" spans="1:3" ht="30.1" customHeight="1" x14ac:dyDescent="0.25">
      <c r="A20" s="2" t="s">
        <v>186</v>
      </c>
      <c r="B20" s="2" t="s">
        <v>166</v>
      </c>
      <c r="C20" s="2" t="s">
        <v>116</v>
      </c>
    </row>
    <row r="21" spans="1:3" ht="30.1" customHeight="1" x14ac:dyDescent="0.25">
      <c r="A21" s="2" t="s">
        <v>187</v>
      </c>
      <c r="B21" s="2" t="s">
        <v>188</v>
      </c>
      <c r="C21" s="2" t="s">
        <v>121</v>
      </c>
    </row>
    <row r="22" spans="1:3" ht="30.1" customHeight="1" x14ac:dyDescent="0.25">
      <c r="A22" s="2" t="s">
        <v>189</v>
      </c>
      <c r="B22" s="2" t="s">
        <v>190</v>
      </c>
      <c r="C22" s="2" t="s">
        <v>122</v>
      </c>
    </row>
    <row r="23" spans="1:3" ht="30.1" customHeight="1" x14ac:dyDescent="0.25">
      <c r="A23" s="2" t="s">
        <v>191</v>
      </c>
      <c r="B23" s="2" t="s">
        <v>177</v>
      </c>
      <c r="C23" s="2" t="s">
        <v>124</v>
      </c>
    </row>
    <row r="24" spans="1:3" ht="30.1" customHeight="1" x14ac:dyDescent="0.25">
      <c r="A24" s="2" t="s">
        <v>192</v>
      </c>
      <c r="B24" s="2" t="s">
        <v>190</v>
      </c>
      <c r="C24" s="2" t="s">
        <v>126</v>
      </c>
    </row>
    <row r="25" spans="1:3" ht="30.1" customHeight="1" x14ac:dyDescent="0.25">
      <c r="A25" s="2" t="s">
        <v>193</v>
      </c>
      <c r="B25" s="2" t="s">
        <v>194</v>
      </c>
      <c r="C25" s="2" t="s">
        <v>129</v>
      </c>
    </row>
    <row r="26" spans="1:3" ht="30.1" customHeight="1" x14ac:dyDescent="0.25">
      <c r="A26" s="2" t="s">
        <v>195</v>
      </c>
      <c r="B26" s="2" t="s">
        <v>196</v>
      </c>
      <c r="C26" s="2" t="s">
        <v>130</v>
      </c>
    </row>
    <row r="27" spans="1:3" ht="30.1" customHeight="1" x14ac:dyDescent="0.25">
      <c r="A27" s="2" t="s">
        <v>197</v>
      </c>
      <c r="B27" s="2" t="s">
        <v>198</v>
      </c>
      <c r="C27" s="2" t="s">
        <v>139</v>
      </c>
    </row>
    <row r="28" spans="1:3" ht="30.1" customHeight="1" x14ac:dyDescent="0.25">
      <c r="A28" s="2" t="s">
        <v>199</v>
      </c>
      <c r="B28" s="2" t="s">
        <v>166</v>
      </c>
      <c r="C28" s="2" t="s">
        <v>141</v>
      </c>
    </row>
    <row r="29" spans="1:3" ht="30.1" customHeight="1" x14ac:dyDescent="0.25">
      <c r="A29" s="2" t="s">
        <v>200</v>
      </c>
      <c r="B29" s="2" t="s">
        <v>201</v>
      </c>
      <c r="C29" s="2" t="s">
        <v>143</v>
      </c>
    </row>
    <row r="30" spans="1:3" ht="30.1" customHeight="1" x14ac:dyDescent="0.25">
      <c r="A30" s="2" t="s">
        <v>202</v>
      </c>
      <c r="B30" s="2" t="s">
        <v>188</v>
      </c>
      <c r="C30" s="2" t="s">
        <v>149</v>
      </c>
    </row>
    <row r="31" spans="1:3" ht="30.1" customHeight="1" x14ac:dyDescent="0.25">
      <c r="A31" s="2" t="s">
        <v>203</v>
      </c>
      <c r="B31" s="2" t="s">
        <v>198</v>
      </c>
      <c r="C31" s="2" t="s">
        <v>153</v>
      </c>
    </row>
    <row r="32" spans="1:3" ht="30.1" customHeight="1" x14ac:dyDescent="0.25">
      <c r="A32" s="2" t="s">
        <v>204</v>
      </c>
      <c r="B32" s="2" t="s">
        <v>194</v>
      </c>
      <c r="C32" s="2" t="s">
        <v>154</v>
      </c>
    </row>
    <row r="33" spans="1:3" ht="30.1" customHeight="1" x14ac:dyDescent="0.25">
      <c r="A33" s="2" t="s">
        <v>205</v>
      </c>
      <c r="B33" s="2" t="s">
        <v>194</v>
      </c>
      <c r="C33" s="2" t="s">
        <v>156</v>
      </c>
    </row>
    <row r="34" spans="1:3" ht="30.1" customHeight="1" x14ac:dyDescent="0.25">
      <c r="A34" s="2" t="s">
        <v>206</v>
      </c>
      <c r="B34" s="2" t="s">
        <v>207</v>
      </c>
      <c r="C34" s="2" t="s">
        <v>208</v>
      </c>
    </row>
    <row r="35" spans="1:3" ht="30.1" customHeight="1" x14ac:dyDescent="0.25">
      <c r="A35" s="2" t="s">
        <v>209</v>
      </c>
      <c r="B35" s="2" t="s">
        <v>210</v>
      </c>
      <c r="C35" s="2" t="s">
        <v>211</v>
      </c>
    </row>
    <row r="36" spans="1:3" ht="30.1" customHeight="1" x14ac:dyDescent="0.25">
      <c r="A36" s="2" t="s">
        <v>212</v>
      </c>
      <c r="B36" s="2" t="s">
        <v>213</v>
      </c>
      <c r="C36" s="2" t="s">
        <v>214</v>
      </c>
    </row>
    <row r="37" spans="1:3" ht="30.1" customHeight="1" x14ac:dyDescent="0.25">
      <c r="A37" s="2" t="s">
        <v>215</v>
      </c>
      <c r="B37" s="2" t="s">
        <v>216</v>
      </c>
      <c r="C37" s="2" t="s">
        <v>217</v>
      </c>
    </row>
    <row r="38" spans="1:3" ht="30.1" customHeight="1" x14ac:dyDescent="0.25">
      <c r="A38" s="2" t="s">
        <v>218</v>
      </c>
      <c r="B38" s="2" t="s">
        <v>219</v>
      </c>
      <c r="C38" s="2" t="s">
        <v>220</v>
      </c>
    </row>
    <row r="39" spans="1:3" ht="30.1" customHeight="1" x14ac:dyDescent="0.25">
      <c r="A39" s="1"/>
      <c r="B39" s="1"/>
      <c r="C39" s="1"/>
    </row>
    <row r="40" spans="1:3" ht="30.1" customHeight="1" x14ac:dyDescent="0.25">
      <c r="A40" s="1"/>
      <c r="B40" s="1"/>
      <c r="C40" s="1"/>
    </row>
    <row r="41" spans="1:3" ht="30.1" customHeight="1" x14ac:dyDescent="0.25">
      <c r="A41" s="1"/>
      <c r="B41" s="1"/>
      <c r="C41" s="1"/>
    </row>
  </sheetData>
  <mergeCells count="5">
    <mergeCell ref="A1:C1"/>
    <mergeCell ref="A3:C3"/>
    <mergeCell ref="A4:C4"/>
    <mergeCell ref="A5:C5"/>
    <mergeCell ref="A6:C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72D9-8932-4247-B095-5ECD14A567FA}">
  <dimension ref="A1:J40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7" width="14.625" customWidth="1"/>
    <col min="8" max="8" width="3.625" customWidth="1"/>
    <col min="9" max="9" width="30.625" customWidth="1"/>
    <col min="10" max="10" width="14.625" customWidth="1"/>
  </cols>
  <sheetData>
    <row r="1" spans="1:10" ht="4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4" t="s">
        <v>7</v>
      </c>
      <c r="J1" s="4" t="s">
        <v>8</v>
      </c>
    </row>
    <row r="2" spans="1:10" ht="22.95" customHeight="1" x14ac:dyDescent="0.25">
      <c r="A2" s="6">
        <v>4</v>
      </c>
      <c r="B2" s="7">
        <f>A2-$J$3</f>
        <v>-2</v>
      </c>
      <c r="C2" s="7">
        <f>ABS(B2)</f>
        <v>2</v>
      </c>
      <c r="D2" s="7">
        <f>B2^2</f>
        <v>4</v>
      </c>
      <c r="E2" s="7">
        <f>ABS(A2-$J$4)</f>
        <v>1</v>
      </c>
      <c r="F2" s="7">
        <f>B2^3</f>
        <v>-8</v>
      </c>
      <c r="G2" s="7">
        <f>B2^4</f>
        <v>16</v>
      </c>
      <c r="H2" s="8"/>
      <c r="I2" s="8" t="s">
        <v>9</v>
      </c>
      <c r="J2" s="9">
        <f>COUNT(A2:A6)</f>
        <v>5</v>
      </c>
    </row>
    <row r="3" spans="1:10" ht="22.95" customHeight="1" x14ac:dyDescent="0.25">
      <c r="A3" s="6">
        <v>5</v>
      </c>
      <c r="B3" s="7">
        <f t="shared" ref="B3:B6" si="0">A3-$J$3</f>
        <v>-1</v>
      </c>
      <c r="C3" s="7">
        <f t="shared" ref="C3:C6" si="1">ABS(B3)</f>
        <v>1</v>
      </c>
      <c r="D3" s="7">
        <f t="shared" ref="D3:D6" si="2">B3^2</f>
        <v>1</v>
      </c>
      <c r="E3" s="7">
        <f t="shared" ref="E3:E6" si="3">ABS(A3-$J$4)</f>
        <v>0</v>
      </c>
      <c r="F3" s="7">
        <f t="shared" ref="F3:F6" si="4">B3^3</f>
        <v>-1</v>
      </c>
      <c r="G3" s="7">
        <f t="shared" ref="G3:G6" si="5">B3^4</f>
        <v>1</v>
      </c>
      <c r="H3" s="8"/>
      <c r="I3" s="8" t="s">
        <v>10</v>
      </c>
      <c r="J3" s="7">
        <f>AVERAGE(A2:A6)</f>
        <v>6</v>
      </c>
    </row>
    <row r="4" spans="1:10" ht="22.95" customHeight="1" x14ac:dyDescent="0.25">
      <c r="A4" s="6">
        <v>5</v>
      </c>
      <c r="B4" s="7">
        <f t="shared" si="0"/>
        <v>-1</v>
      </c>
      <c r="C4" s="7">
        <f t="shared" si="1"/>
        <v>1</v>
      </c>
      <c r="D4" s="7">
        <f t="shared" si="2"/>
        <v>1</v>
      </c>
      <c r="E4" s="7">
        <f t="shared" si="3"/>
        <v>0</v>
      </c>
      <c r="F4" s="7">
        <f t="shared" si="4"/>
        <v>-1</v>
      </c>
      <c r="G4" s="7">
        <f t="shared" si="5"/>
        <v>1</v>
      </c>
      <c r="H4" s="8"/>
      <c r="I4" s="8" t="s">
        <v>11</v>
      </c>
      <c r="J4" s="7">
        <f>MEDIAN(A2:A6)</f>
        <v>5</v>
      </c>
    </row>
    <row r="5" spans="1:10" ht="22.95" customHeight="1" x14ac:dyDescent="0.25">
      <c r="A5" s="6">
        <v>6</v>
      </c>
      <c r="B5" s="7">
        <f t="shared" si="0"/>
        <v>0</v>
      </c>
      <c r="C5" s="7">
        <f t="shared" si="1"/>
        <v>0</v>
      </c>
      <c r="D5" s="7">
        <f t="shared" si="2"/>
        <v>0</v>
      </c>
      <c r="E5" s="7">
        <f t="shared" si="3"/>
        <v>1</v>
      </c>
      <c r="F5" s="7">
        <f t="shared" si="4"/>
        <v>0</v>
      </c>
      <c r="G5" s="7">
        <f t="shared" si="5"/>
        <v>0</v>
      </c>
      <c r="H5" s="8"/>
      <c r="I5" s="8" t="s">
        <v>12</v>
      </c>
      <c r="J5" s="7">
        <f>_xlfn.MODE.SNGL(A2:A6)</f>
        <v>5</v>
      </c>
    </row>
    <row r="6" spans="1:10" ht="22.95" customHeight="1" x14ac:dyDescent="0.25">
      <c r="A6" s="6">
        <v>10</v>
      </c>
      <c r="B6" s="7">
        <f t="shared" si="0"/>
        <v>4</v>
      </c>
      <c r="C6" s="7">
        <f t="shared" si="1"/>
        <v>4</v>
      </c>
      <c r="D6" s="7">
        <f t="shared" si="2"/>
        <v>16</v>
      </c>
      <c r="E6" s="7">
        <f t="shared" si="3"/>
        <v>5</v>
      </c>
      <c r="F6" s="7">
        <f t="shared" si="4"/>
        <v>64</v>
      </c>
      <c r="G6" s="7">
        <f t="shared" si="5"/>
        <v>256</v>
      </c>
      <c r="H6" s="8"/>
      <c r="I6" s="8" t="s">
        <v>13</v>
      </c>
      <c r="J6" s="7">
        <f>MIN(A2:A6)</f>
        <v>4</v>
      </c>
    </row>
    <row r="7" spans="1:10" ht="22.95" customHeight="1" x14ac:dyDescent="0.25">
      <c r="A7" s="8"/>
      <c r="B7" s="8"/>
      <c r="C7" s="8"/>
      <c r="D7" s="8"/>
      <c r="E7" s="8"/>
      <c r="F7" s="8"/>
      <c r="G7" s="8"/>
      <c r="H7" s="8"/>
      <c r="I7" s="8" t="s">
        <v>14</v>
      </c>
      <c r="J7" s="7">
        <f>MAX(A2:A6)</f>
        <v>10</v>
      </c>
    </row>
    <row r="8" spans="1:10" ht="22.95" customHeight="1" x14ac:dyDescent="0.25">
      <c r="A8" s="8"/>
      <c r="B8" s="8"/>
      <c r="C8" s="8"/>
      <c r="D8" s="8"/>
      <c r="E8" s="8"/>
      <c r="F8" s="8"/>
      <c r="G8" s="8"/>
      <c r="H8" s="8"/>
      <c r="I8" s="8" t="s">
        <v>15</v>
      </c>
      <c r="J8" s="7">
        <f>_xlfn.PERCENTILE.INC(A2:A6,0.25)</f>
        <v>5</v>
      </c>
    </row>
    <row r="9" spans="1:10" ht="36" customHeight="1" x14ac:dyDescent="0.25">
      <c r="A9" s="10" t="s">
        <v>25</v>
      </c>
      <c r="B9" s="10"/>
      <c r="C9" s="10"/>
      <c r="D9" s="10"/>
      <c r="E9" s="10"/>
      <c r="F9" s="10"/>
      <c r="G9" s="10"/>
      <c r="H9" s="8"/>
      <c r="I9" s="8" t="s">
        <v>16</v>
      </c>
      <c r="J9" s="7">
        <f>_xlfn.PERCENTILE.INC(A2:A6,0.75)</f>
        <v>6</v>
      </c>
    </row>
    <row r="10" spans="1:10" ht="22.95" customHeight="1" x14ac:dyDescent="0.25">
      <c r="A10" s="8"/>
      <c r="B10" s="8"/>
      <c r="C10" s="8"/>
      <c r="D10" s="8"/>
      <c r="E10" s="8"/>
      <c r="F10" s="8"/>
      <c r="G10" s="8"/>
      <c r="H10" s="8"/>
      <c r="I10" s="8" t="s">
        <v>17</v>
      </c>
      <c r="J10" s="7">
        <f>J7-J6</f>
        <v>6</v>
      </c>
    </row>
    <row r="11" spans="1:10" ht="36" customHeight="1" x14ac:dyDescent="0.25">
      <c r="A11" s="10" t="s">
        <v>26</v>
      </c>
      <c r="B11" s="10"/>
      <c r="C11" s="10"/>
      <c r="D11" s="10"/>
      <c r="E11" s="10"/>
      <c r="F11" s="10"/>
      <c r="G11" s="10"/>
      <c r="H11" s="8"/>
      <c r="I11" s="8" t="s">
        <v>18</v>
      </c>
      <c r="J11" s="7">
        <f>J9-J8</f>
        <v>1</v>
      </c>
    </row>
    <row r="12" spans="1:10" ht="22.95" customHeight="1" x14ac:dyDescent="0.25">
      <c r="A12" s="8"/>
      <c r="B12" s="8"/>
      <c r="C12" s="8"/>
      <c r="D12" s="8"/>
      <c r="E12" s="8"/>
      <c r="F12" s="8"/>
      <c r="G12" s="8"/>
      <c r="H12" s="8"/>
      <c r="I12" s="8" t="s">
        <v>19</v>
      </c>
      <c r="J12" s="7">
        <f>AVERAGE(C2:C6)</f>
        <v>1.6</v>
      </c>
    </row>
    <row r="13" spans="1:10" ht="36" customHeight="1" x14ac:dyDescent="0.25">
      <c r="A13" s="10" t="s">
        <v>27</v>
      </c>
      <c r="B13" s="10"/>
      <c r="C13" s="10"/>
      <c r="D13" s="10"/>
      <c r="E13" s="10"/>
      <c r="F13" s="10"/>
      <c r="G13" s="10"/>
      <c r="H13" s="8"/>
      <c r="I13" s="8" t="s">
        <v>20</v>
      </c>
      <c r="J13" s="7">
        <f>SUM(D2:D6)</f>
        <v>22</v>
      </c>
    </row>
    <row r="14" spans="1:10" ht="22.95" customHeight="1" x14ac:dyDescent="0.25">
      <c r="A14" s="8"/>
      <c r="B14" s="8"/>
      <c r="C14" s="8"/>
      <c r="D14" s="8"/>
      <c r="E14" s="8"/>
      <c r="F14" s="8"/>
      <c r="G14" s="8"/>
      <c r="H14" s="8"/>
      <c r="I14" s="8" t="s">
        <v>21</v>
      </c>
      <c r="J14" s="7">
        <f>J13/J2</f>
        <v>4.4000000000000004</v>
      </c>
    </row>
    <row r="15" spans="1:10" ht="36" customHeight="1" x14ac:dyDescent="0.25">
      <c r="A15" s="10" t="s">
        <v>28</v>
      </c>
      <c r="B15" s="10"/>
      <c r="C15" s="10"/>
      <c r="D15" s="10"/>
      <c r="E15" s="10"/>
      <c r="F15" s="10"/>
      <c r="G15" s="10"/>
      <c r="H15" s="8"/>
      <c r="I15" s="8" t="s">
        <v>22</v>
      </c>
      <c r="J15" s="7">
        <f>_xlfn.VAR.S(A2:A6)</f>
        <v>5.5</v>
      </c>
    </row>
    <row r="16" spans="1:10" ht="22.95" customHeight="1" x14ac:dyDescent="0.25">
      <c r="A16" s="8"/>
      <c r="B16" s="8"/>
      <c r="C16" s="8"/>
      <c r="D16" s="8"/>
      <c r="E16" s="8"/>
      <c r="F16" s="8"/>
      <c r="G16" s="8"/>
      <c r="H16" s="8"/>
      <c r="I16" s="8" t="s">
        <v>23</v>
      </c>
      <c r="J16" s="7">
        <f>_xlfn.STDEV.S(A2:A6)</f>
        <v>2.3452078799117149</v>
      </c>
    </row>
    <row r="17" spans="1:10" ht="22.95" customHeight="1" x14ac:dyDescent="0.25">
      <c r="A17" s="8"/>
      <c r="B17" s="8"/>
      <c r="C17" s="8"/>
      <c r="D17" s="8"/>
      <c r="E17" s="8"/>
      <c r="F17" s="8"/>
      <c r="G17" s="8"/>
      <c r="H17" s="8"/>
      <c r="I17" s="8" t="s">
        <v>24</v>
      </c>
      <c r="J17" s="7">
        <f>MEDIAN(E2:E6)</f>
        <v>1</v>
      </c>
    </row>
    <row r="18" spans="1:10" ht="22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36" customHeight="1" x14ac:dyDescent="0.25">
      <c r="A19" s="13" t="s">
        <v>29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2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6" customHeight="1" x14ac:dyDescent="0.25">
      <c r="A21" s="13" t="s">
        <v>30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2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2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2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2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2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2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2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2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2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2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2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2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2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2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2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2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2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2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2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6">
    <mergeCell ref="A9:G9"/>
    <mergeCell ref="A11:G11"/>
    <mergeCell ref="A13:G13"/>
    <mergeCell ref="A15:G15"/>
    <mergeCell ref="A19:J19"/>
    <mergeCell ref="A21:J2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C050-B2D2-4074-A4FA-801D1E85E9D9}">
  <dimension ref="A1:J40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7.625" customWidth="1"/>
    <col min="2" max="3" width="19.625" customWidth="1"/>
    <col min="4" max="4" width="42.625" customWidth="1"/>
    <col min="5" max="10" width="14.625" customWidth="1"/>
  </cols>
  <sheetData>
    <row r="1" spans="1:10" ht="44" customHeight="1" x14ac:dyDescent="0.25">
      <c r="A1" s="4" t="s">
        <v>7</v>
      </c>
      <c r="B1" s="4" t="s">
        <v>31</v>
      </c>
      <c r="C1" s="4" t="s">
        <v>32</v>
      </c>
      <c r="D1" s="4" t="s">
        <v>33</v>
      </c>
      <c r="E1" s="1"/>
      <c r="F1" s="1"/>
      <c r="G1" s="1"/>
      <c r="H1" s="1"/>
      <c r="I1" s="1"/>
      <c r="J1" s="1"/>
    </row>
    <row r="2" spans="1:10" ht="22.95" customHeight="1" x14ac:dyDescent="0.25">
      <c r="A2" s="2" t="s">
        <v>34</v>
      </c>
      <c r="B2" s="9">
        <f>COUNT(Data!B2:B37)</f>
        <v>33</v>
      </c>
      <c r="C2" s="9">
        <f>COUNT(Data!C2:C37)</f>
        <v>36</v>
      </c>
      <c r="D2" s="2" t="s">
        <v>35</v>
      </c>
      <c r="E2" s="1"/>
      <c r="F2" s="1"/>
      <c r="G2" s="1"/>
      <c r="H2" s="1"/>
      <c r="I2" s="1"/>
      <c r="J2" s="1"/>
    </row>
    <row r="3" spans="1:10" ht="22.95" customHeight="1" x14ac:dyDescent="0.25">
      <c r="A3" s="2" t="s">
        <v>36</v>
      </c>
      <c r="B3" s="7">
        <f>AVERAGE(Data!B2:B37)</f>
        <v>7.0636363636363626</v>
      </c>
      <c r="C3" s="7">
        <f>AVERAGE(Data!C2:C37)</f>
        <v>7.0277777777777777</v>
      </c>
      <c r="D3" s="2" t="s">
        <v>37</v>
      </c>
      <c r="E3" s="1"/>
      <c r="F3" s="1"/>
      <c r="G3" s="1"/>
      <c r="H3" s="1"/>
      <c r="I3" s="1"/>
      <c r="J3" s="1"/>
    </row>
    <row r="4" spans="1:10" ht="22.95" customHeight="1" x14ac:dyDescent="0.25">
      <c r="A4" s="2" t="s">
        <v>38</v>
      </c>
      <c r="B4" s="7">
        <f>MEDIAN(Data!B2:B37)</f>
        <v>7.1</v>
      </c>
      <c r="C4" s="7">
        <f>MEDIAN(Data!C2:C37)</f>
        <v>7</v>
      </c>
      <c r="D4" s="2" t="s">
        <v>39</v>
      </c>
      <c r="E4" s="1"/>
      <c r="F4" s="1"/>
      <c r="G4" s="1"/>
      <c r="H4" s="1"/>
      <c r="I4" s="1"/>
      <c r="J4" s="1"/>
    </row>
    <row r="5" spans="1:10" ht="22.95" customHeight="1" x14ac:dyDescent="0.25">
      <c r="A5" s="2" t="s">
        <v>40</v>
      </c>
      <c r="B5" s="7">
        <f>MIN(Data!B2:B37)</f>
        <v>4.5</v>
      </c>
      <c r="C5" s="7">
        <f>MIN(Data!C2:C37)</f>
        <v>0</v>
      </c>
      <c r="D5" s="2" t="s">
        <v>41</v>
      </c>
      <c r="E5" s="1"/>
      <c r="F5" s="1"/>
      <c r="G5" s="1"/>
      <c r="H5" s="1"/>
      <c r="I5" s="1"/>
      <c r="J5" s="1"/>
    </row>
    <row r="6" spans="1:10" ht="22.95" customHeight="1" x14ac:dyDescent="0.25">
      <c r="A6" s="2" t="s">
        <v>42</v>
      </c>
      <c r="B6" s="7">
        <f>MAX(Data!B2:B37)</f>
        <v>9.5</v>
      </c>
      <c r="C6" s="7">
        <f>MAX(Data!C2:C37)</f>
        <v>12</v>
      </c>
      <c r="D6" s="2" t="s">
        <v>43</v>
      </c>
      <c r="E6" s="1"/>
      <c r="F6" s="1"/>
      <c r="G6" s="1"/>
      <c r="H6" s="1"/>
      <c r="I6" s="1"/>
      <c r="J6" s="1"/>
    </row>
    <row r="7" spans="1:10" ht="22.95" customHeight="1" x14ac:dyDescent="0.25">
      <c r="A7" s="2" t="s">
        <v>44</v>
      </c>
      <c r="B7" s="7">
        <f>_xlfn.PERCENTILE.INC(Data!B2:B37,0.25)</f>
        <v>6.2</v>
      </c>
      <c r="C7" s="7">
        <f>_xlfn.PERCENTILE.INC(Data!C2:C37,0.25)</f>
        <v>5.75</v>
      </c>
      <c r="D7" s="2" t="s">
        <v>45</v>
      </c>
      <c r="E7" s="1"/>
      <c r="F7" s="1"/>
      <c r="G7" s="1"/>
      <c r="H7" s="1"/>
      <c r="I7" s="1"/>
      <c r="J7" s="1"/>
    </row>
    <row r="8" spans="1:10" ht="22.95" customHeight="1" x14ac:dyDescent="0.25">
      <c r="A8" s="2" t="s">
        <v>46</v>
      </c>
      <c r="B8" s="7">
        <f>_xlfn.PERCENTILE.INC(Data!B2:B37,0.75)</f>
        <v>8</v>
      </c>
      <c r="C8" s="7">
        <f>_xlfn.PERCENTILE.INC(Data!C2:C37,0.75)</f>
        <v>9</v>
      </c>
      <c r="D8" s="2" t="s">
        <v>47</v>
      </c>
      <c r="E8" s="1"/>
      <c r="F8" s="1"/>
      <c r="G8" s="1"/>
      <c r="H8" s="1"/>
      <c r="I8" s="1"/>
      <c r="J8" s="1"/>
    </row>
    <row r="9" spans="1:10" ht="22.95" customHeight="1" x14ac:dyDescent="0.25">
      <c r="A9" s="2" t="s">
        <v>48</v>
      </c>
      <c r="B9" s="7">
        <f>B8-B7</f>
        <v>1.7999999999999998</v>
      </c>
      <c r="C9" s="7">
        <f>C8-C7</f>
        <v>3.25</v>
      </c>
      <c r="D9" s="2" t="s">
        <v>49</v>
      </c>
      <c r="E9" s="1"/>
      <c r="F9" s="1"/>
      <c r="G9" s="1"/>
      <c r="H9" s="1"/>
      <c r="I9" s="1"/>
      <c r="J9" s="1"/>
    </row>
    <row r="10" spans="1:10" ht="22.95" customHeight="1" x14ac:dyDescent="0.25">
      <c r="A10" s="2" t="s">
        <v>50</v>
      </c>
      <c r="B10" s="7">
        <f>_xlfn.VAR.S(Data!B2:B37)</f>
        <v>1.6605113636363811</v>
      </c>
      <c r="C10" s="7">
        <f>_xlfn.VAR.S(Data!C2:C37)</f>
        <v>6.7134920634920618</v>
      </c>
      <c r="D10" s="2" t="s">
        <v>51</v>
      </c>
      <c r="E10" s="1"/>
      <c r="F10" s="1"/>
      <c r="G10" s="1"/>
      <c r="H10" s="1"/>
      <c r="I10" s="1"/>
      <c r="J10" s="1"/>
    </row>
    <row r="11" spans="1:10" ht="22.95" customHeight="1" x14ac:dyDescent="0.25">
      <c r="A11" s="2" t="s">
        <v>52</v>
      </c>
      <c r="B11" s="7">
        <f>_xlfn.STDEV.S(Data!B2:B37)</f>
        <v>1.2886083049695052</v>
      </c>
      <c r="C11" s="7">
        <f>_xlfn.STDEV.S(Data!C2:C37)</f>
        <v>2.5910407298018421</v>
      </c>
      <c r="D11" s="2" t="s">
        <v>53</v>
      </c>
      <c r="E11" s="1"/>
      <c r="F11" s="1"/>
      <c r="G11" s="1"/>
      <c r="H11" s="1"/>
      <c r="I11" s="1"/>
      <c r="J11" s="1"/>
    </row>
    <row r="12" spans="1:10" ht="22.95" customHeight="1" x14ac:dyDescent="0.25">
      <c r="A12" s="2" t="s">
        <v>54</v>
      </c>
      <c r="B12" s="7">
        <f>SKEW(Data!B2:B37)</f>
        <v>-0.1250536524296447</v>
      </c>
      <c r="C12" s="7">
        <f>SKEW(Data!C2:C37)</f>
        <v>-0.47057774610161002</v>
      </c>
      <c r="D12" s="2" t="s">
        <v>55</v>
      </c>
      <c r="E12" s="1"/>
      <c r="F12" s="1"/>
      <c r="G12" s="1"/>
      <c r="H12" s="1"/>
      <c r="I12" s="1"/>
      <c r="J12" s="1"/>
    </row>
    <row r="13" spans="1:10" ht="22.95" customHeight="1" x14ac:dyDescent="0.25">
      <c r="A13" s="2" t="s">
        <v>56</v>
      </c>
      <c r="B13" s="7">
        <f>KURT(Data!B2:B37)</f>
        <v>-0.55379448461620973</v>
      </c>
      <c r="C13" s="7">
        <f>KURT(Data!C2:C37)</f>
        <v>0.48140624763994788</v>
      </c>
      <c r="D13" s="2" t="s">
        <v>57</v>
      </c>
      <c r="E13" s="1"/>
      <c r="F13" s="1"/>
      <c r="G13" s="1"/>
      <c r="H13" s="1"/>
      <c r="I13" s="1"/>
      <c r="J13" s="1"/>
    </row>
    <row r="14" spans="1:10" ht="36" customHeight="1" x14ac:dyDescent="0.25">
      <c r="A14" s="13" t="s">
        <v>58</v>
      </c>
      <c r="B14" s="14"/>
      <c r="C14" s="14"/>
      <c r="D14" s="14"/>
      <c r="E14" s="1"/>
      <c r="F14" s="1"/>
      <c r="G14" s="1"/>
      <c r="H14" s="1"/>
      <c r="I14" s="1"/>
      <c r="J14" s="1"/>
    </row>
    <row r="15" spans="1:10" ht="22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6" customHeight="1" x14ac:dyDescent="0.25">
      <c r="A16" s="13" t="s">
        <v>59</v>
      </c>
      <c r="B16" s="14"/>
      <c r="C16" s="14"/>
      <c r="D16" s="14"/>
      <c r="E16" s="1"/>
      <c r="F16" s="1"/>
      <c r="G16" s="1"/>
      <c r="H16" s="1"/>
      <c r="I16" s="1"/>
      <c r="J16" s="1"/>
    </row>
    <row r="17" spans="1:10" ht="22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2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2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2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2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2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2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2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2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2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2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2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2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2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2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2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2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2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2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2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2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2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2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2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">
    <mergeCell ref="A14:D14"/>
    <mergeCell ref="A16:D16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0EC5-3F4E-4AAD-8BD9-7EE1D1BC76C1}">
  <dimension ref="A1:J40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14.625" customWidth="1"/>
    <col min="4" max="4" width="23.625" customWidth="1"/>
    <col min="5" max="8" width="14.625" customWidth="1"/>
    <col min="9" max="9" width="33.625" customWidth="1"/>
    <col min="10" max="10" width="15.625" customWidth="1"/>
  </cols>
  <sheetData>
    <row r="1" spans="1:10" ht="44" customHeight="1" x14ac:dyDescent="0.25">
      <c r="A1" s="4" t="s">
        <v>60</v>
      </c>
      <c r="B1" s="4" t="s">
        <v>61</v>
      </c>
      <c r="C1" s="4" t="s">
        <v>62</v>
      </c>
      <c r="D1" s="4" t="s">
        <v>63</v>
      </c>
      <c r="E1" s="1"/>
      <c r="F1" s="1"/>
      <c r="G1" s="1"/>
      <c r="H1" s="1"/>
      <c r="I1" s="4" t="s">
        <v>69</v>
      </c>
      <c r="J1" s="4" t="s">
        <v>8</v>
      </c>
    </row>
    <row r="2" spans="1:10" ht="22.95" customHeight="1" x14ac:dyDescent="0.25">
      <c r="A2" s="2" t="s">
        <v>64</v>
      </c>
      <c r="B2" s="5">
        <v>4</v>
      </c>
      <c r="C2" s="15">
        <f>B2/SUM($B$2:$B$5)</f>
        <v>0.5</v>
      </c>
      <c r="D2" s="7">
        <f>IF(C2=0,0,-C2*LOG(C2,2))</f>
        <v>0.5</v>
      </c>
      <c r="E2" s="1"/>
      <c r="F2" s="1"/>
      <c r="G2" s="1"/>
      <c r="H2" s="1"/>
      <c r="I2" s="2" t="s">
        <v>70</v>
      </c>
      <c r="J2" s="7">
        <f>AVERAGE(Priklad!F2:F6)/(SQRT(Priklad!J14)^3)</f>
        <v>1.1701586322559541</v>
      </c>
    </row>
    <row r="3" spans="1:10" ht="22.95" customHeight="1" x14ac:dyDescent="0.25">
      <c r="A3" s="2" t="s">
        <v>65</v>
      </c>
      <c r="B3" s="5">
        <v>2</v>
      </c>
      <c r="C3" s="15">
        <f t="shared" ref="C3:C5" si="0">B3/SUM($B$2:$B$5)</f>
        <v>0.25</v>
      </c>
      <c r="D3" s="7">
        <f t="shared" ref="D3:D5" si="1">IF(C3=0,0,-C3*LOG(C3,2))</f>
        <v>0.5</v>
      </c>
      <c r="E3" s="1"/>
      <c r="F3" s="1"/>
      <c r="G3" s="1"/>
      <c r="H3" s="1"/>
      <c r="I3" s="2" t="s">
        <v>71</v>
      </c>
      <c r="J3" s="7">
        <f>_xlfn.SKEW.P(Priklad!A2:A6)</f>
        <v>1.1701586322559538</v>
      </c>
    </row>
    <row r="4" spans="1:10" ht="22.95" customHeight="1" x14ac:dyDescent="0.25">
      <c r="A4" s="2" t="s">
        <v>66</v>
      </c>
      <c r="B4" s="5">
        <v>2</v>
      </c>
      <c r="C4" s="15">
        <f t="shared" si="0"/>
        <v>0.25</v>
      </c>
      <c r="D4" s="7">
        <f t="shared" si="1"/>
        <v>0.5</v>
      </c>
      <c r="E4" s="1"/>
      <c r="F4" s="1"/>
      <c r="G4" s="1"/>
      <c r="H4" s="1"/>
      <c r="I4" s="2" t="s">
        <v>72</v>
      </c>
      <c r="J4" s="7">
        <f>SKEW(Priklad!A2:A6)</f>
        <v>1.7443694974549939</v>
      </c>
    </row>
    <row r="5" spans="1:10" ht="22.95" customHeight="1" x14ac:dyDescent="0.25">
      <c r="A5" s="2" t="s">
        <v>67</v>
      </c>
      <c r="B5" s="5">
        <v>0</v>
      </c>
      <c r="C5" s="15">
        <f t="shared" si="0"/>
        <v>0</v>
      </c>
      <c r="D5" s="7">
        <f t="shared" si="1"/>
        <v>0</v>
      </c>
      <c r="E5" s="1"/>
      <c r="F5" s="1"/>
      <c r="G5" s="1"/>
      <c r="H5" s="1"/>
      <c r="I5" s="2" t="s">
        <v>73</v>
      </c>
      <c r="J5" s="7">
        <f>AVERAGE(Priklad!G2:G6)/(Priklad!J14^2)-3</f>
        <v>-0.16942148760330644</v>
      </c>
    </row>
    <row r="6" spans="1:10" ht="22.95" customHeight="1" x14ac:dyDescent="0.25">
      <c r="A6" s="1"/>
      <c r="B6" s="1"/>
      <c r="C6" s="1"/>
      <c r="D6" s="8"/>
      <c r="E6" s="1"/>
      <c r="F6" s="1"/>
      <c r="G6" s="1"/>
      <c r="H6" s="1"/>
      <c r="I6" s="2" t="s">
        <v>74</v>
      </c>
      <c r="J6" s="7">
        <f>KURT(Priklad!A2:A6)</f>
        <v>3.3223140495867742</v>
      </c>
    </row>
    <row r="7" spans="1:10" ht="22.95" customHeight="1" x14ac:dyDescent="0.25">
      <c r="A7" s="12" t="s">
        <v>68</v>
      </c>
      <c r="B7" s="11"/>
      <c r="C7" s="11"/>
      <c r="D7" s="7">
        <f>SUM(D2:D5)</f>
        <v>1.5</v>
      </c>
      <c r="E7" s="1"/>
      <c r="F7" s="1"/>
      <c r="G7" s="1"/>
      <c r="H7" s="1"/>
      <c r="I7" s="1"/>
      <c r="J7" s="1"/>
    </row>
    <row r="8" spans="1:10" ht="22.9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22.9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36" customHeight="1" x14ac:dyDescent="0.25">
      <c r="A10" s="13" t="s">
        <v>75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22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6" customHeight="1" x14ac:dyDescent="0.25">
      <c r="A12" s="13" t="s">
        <v>76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22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6" customHeight="1" x14ac:dyDescent="0.25">
      <c r="A14" s="13" t="s">
        <v>77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22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2.9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2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2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2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2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2.9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2.9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2.9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2.9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2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2.9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2.9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2.9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2.9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2.9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2.9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2.9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2.9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2.9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2.9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2.9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2.9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2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2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2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4">
    <mergeCell ref="A7:C7"/>
    <mergeCell ref="A10:J10"/>
    <mergeCell ref="A12:J12"/>
    <mergeCell ref="A14:J14"/>
  </mergeCells>
  <dataValidations count="1">
    <dataValidation type="whole" operator="greaterThanOrEqual" showInputMessage="1" sqref="B2:B5" xr:uid="{30E57B9D-4C7B-4F91-A8B2-CA4C704DC5FB}">
      <formula1>0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BBF5-E33D-45B7-A9F8-28F1DFBE773D}">
  <dimension ref="A1:J42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18.625" customWidth="1"/>
    <col min="2" max="2" width="3.625" customWidth="1"/>
    <col min="3" max="3" width="18.625" customWidth="1"/>
    <col min="4" max="4" width="3.625" customWidth="1"/>
    <col min="5" max="5" width="22.625" customWidth="1"/>
    <col min="6" max="6" width="3.625" customWidth="1"/>
    <col min="7" max="7" width="38.625" customWidth="1"/>
    <col min="8" max="10" width="14.625" customWidth="1"/>
  </cols>
  <sheetData>
    <row r="1" spans="1:10" ht="44" customHeight="1" x14ac:dyDescent="0.25">
      <c r="A1" s="4" t="s">
        <v>221</v>
      </c>
      <c r="B1" s="1"/>
      <c r="C1" s="4" t="s">
        <v>222</v>
      </c>
      <c r="D1" s="1"/>
      <c r="E1" s="4" t="s">
        <v>223</v>
      </c>
      <c r="F1" s="1"/>
      <c r="G1" s="4" t="s">
        <v>7</v>
      </c>
      <c r="H1" s="4" t="s">
        <v>8</v>
      </c>
      <c r="I1" s="1"/>
      <c r="J1" s="1"/>
    </row>
    <row r="2" spans="1:10" ht="22.95" customHeight="1" x14ac:dyDescent="0.25">
      <c r="A2" s="9">
        <f>Kvantily!A2</f>
        <v>4</v>
      </c>
      <c r="B2" s="1"/>
      <c r="C2" s="9">
        <f>Orezani!A2</f>
        <v>2</v>
      </c>
      <c r="D2" s="1"/>
      <c r="E2" s="9">
        <f>Boxplot!A2</f>
        <v>2</v>
      </c>
      <c r="F2" s="1"/>
      <c r="G2" s="2" t="s">
        <v>224</v>
      </c>
      <c r="H2" s="7">
        <f>_xlfn.PERCENTILE.INC(A2:A12,0.17)</f>
        <v>6.4</v>
      </c>
      <c r="I2" s="1"/>
      <c r="J2" s="1"/>
    </row>
    <row r="3" spans="1:10" ht="22.95" customHeight="1" x14ac:dyDescent="0.25">
      <c r="A3" s="9">
        <f>Kvantily!A3</f>
        <v>5</v>
      </c>
      <c r="B3" s="1"/>
      <c r="C3" s="9">
        <f>Orezani!A3</f>
        <v>3</v>
      </c>
      <c r="D3" s="1"/>
      <c r="E3" s="9">
        <f>Boxplot!A3</f>
        <v>5</v>
      </c>
      <c r="F3" s="1"/>
      <c r="G3" s="2" t="s">
        <v>225</v>
      </c>
      <c r="H3" s="7">
        <f>AVERAGE(C2:C11)</f>
        <v>8</v>
      </c>
      <c r="I3" s="1"/>
      <c r="J3" s="1"/>
    </row>
    <row r="4" spans="1:10" ht="22.95" customHeight="1" x14ac:dyDescent="0.25">
      <c r="A4" s="9">
        <f>Kvantily!A4</f>
        <v>7</v>
      </c>
      <c r="B4" s="1"/>
      <c r="C4" s="9">
        <f>Orezani!A4</f>
        <v>4</v>
      </c>
      <c r="D4" s="1"/>
      <c r="E4" s="9">
        <f>Boxplot!A4</f>
        <v>15</v>
      </c>
      <c r="F4" s="1"/>
      <c r="G4" s="2" t="s">
        <v>226</v>
      </c>
      <c r="H4" s="7">
        <f>MEDIAN(C2:C11)</f>
        <v>5.5</v>
      </c>
      <c r="I4" s="1"/>
      <c r="J4" s="1"/>
    </row>
    <row r="5" spans="1:10" ht="22.95" customHeight="1" x14ac:dyDescent="0.25">
      <c r="A5" s="9">
        <f>Kvantily!A5</f>
        <v>8</v>
      </c>
      <c r="B5" s="1"/>
      <c r="C5" s="9">
        <f>Orezani!A5</f>
        <v>5</v>
      </c>
      <c r="D5" s="1"/>
      <c r="E5" s="9">
        <f>Boxplot!A5</f>
        <v>25</v>
      </c>
      <c r="F5" s="1"/>
      <c r="G5" s="2" t="s">
        <v>227</v>
      </c>
      <c r="H5" s="7">
        <f>_xlfn.PERCENTILE.INC(E2:E42,0.25)</f>
        <v>40</v>
      </c>
      <c r="I5" s="1"/>
      <c r="J5" s="1"/>
    </row>
    <row r="6" spans="1:10" ht="22.95" customHeight="1" x14ac:dyDescent="0.25">
      <c r="A6" s="9">
        <f>Kvantily!A6</f>
        <v>9</v>
      </c>
      <c r="B6" s="1"/>
      <c r="C6" s="9">
        <f>Orezani!A6</f>
        <v>5</v>
      </c>
      <c r="D6" s="1"/>
      <c r="E6" s="9">
        <f>Boxplot!A6</f>
        <v>30</v>
      </c>
      <c r="F6" s="1"/>
      <c r="G6" s="2" t="s">
        <v>228</v>
      </c>
      <c r="H6" s="7">
        <f>MEDIAN(E2:E42)</f>
        <v>50</v>
      </c>
      <c r="I6" s="1"/>
      <c r="J6" s="1"/>
    </row>
    <row r="7" spans="1:10" ht="22.95" customHeight="1" x14ac:dyDescent="0.25">
      <c r="A7" s="9">
        <f>Kvantily!A7</f>
        <v>10</v>
      </c>
      <c r="B7" s="1"/>
      <c r="C7" s="9">
        <f>Orezani!A7</f>
        <v>6</v>
      </c>
      <c r="D7" s="1"/>
      <c r="E7" s="9">
        <f>Boxplot!A7</f>
        <v>32</v>
      </c>
      <c r="F7" s="1"/>
      <c r="G7" s="2" t="s">
        <v>229</v>
      </c>
      <c r="H7" s="7">
        <f>_xlfn.PERCENTILE.INC(E2:E42,0.75)</f>
        <v>60</v>
      </c>
      <c r="I7" s="1"/>
      <c r="J7" s="1"/>
    </row>
    <row r="8" spans="1:10" ht="22.95" customHeight="1" x14ac:dyDescent="0.25">
      <c r="A8" s="9">
        <f>Kvantily!A8</f>
        <v>12</v>
      </c>
      <c r="B8" s="1"/>
      <c r="C8" s="9">
        <f>Orezani!A8</f>
        <v>7</v>
      </c>
      <c r="D8" s="1"/>
      <c r="E8" s="9">
        <f>Boxplot!A8</f>
        <v>34</v>
      </c>
      <c r="F8" s="1"/>
      <c r="G8" s="2" t="s">
        <v>230</v>
      </c>
      <c r="H8" s="7">
        <f>H7-H5</f>
        <v>20</v>
      </c>
      <c r="I8" s="1"/>
      <c r="J8" s="1"/>
    </row>
    <row r="9" spans="1:10" ht="22.95" customHeight="1" x14ac:dyDescent="0.25">
      <c r="A9" s="9">
        <f>Kvantily!A9</f>
        <v>13</v>
      </c>
      <c r="B9" s="1"/>
      <c r="C9" s="9">
        <f>Orezani!A9</f>
        <v>8</v>
      </c>
      <c r="D9" s="1"/>
      <c r="E9" s="9">
        <f>Boxplot!A9</f>
        <v>36</v>
      </c>
      <c r="F9" s="1"/>
      <c r="G9" s="1"/>
      <c r="H9" s="1"/>
      <c r="I9" s="1"/>
      <c r="J9" s="1"/>
    </row>
    <row r="10" spans="1:10" ht="36" customHeight="1" x14ac:dyDescent="0.25">
      <c r="A10" s="9">
        <f>Kvantily!A10</f>
        <v>15</v>
      </c>
      <c r="B10" s="1"/>
      <c r="C10" s="9">
        <f>Orezani!A10</f>
        <v>9</v>
      </c>
      <c r="D10" s="1"/>
      <c r="E10" s="9">
        <f>Boxplot!A10</f>
        <v>38</v>
      </c>
      <c r="F10" s="1"/>
      <c r="G10" s="13" t="s">
        <v>231</v>
      </c>
      <c r="H10" s="14"/>
      <c r="I10" s="1"/>
      <c r="J10" s="1"/>
    </row>
    <row r="11" spans="1:10" ht="22.95" customHeight="1" x14ac:dyDescent="0.25">
      <c r="A11" s="9">
        <f>Kvantily!A11</f>
        <v>18</v>
      </c>
      <c r="B11" s="1"/>
      <c r="C11" s="9">
        <f>Orezani!A11</f>
        <v>31</v>
      </c>
      <c r="D11" s="1"/>
      <c r="E11" s="9">
        <f>Boxplot!A11</f>
        <v>40</v>
      </c>
      <c r="F11" s="1"/>
      <c r="G11" s="1"/>
      <c r="H11" s="1"/>
      <c r="I11" s="1"/>
      <c r="J11" s="1"/>
    </row>
    <row r="12" spans="1:10" ht="36" customHeight="1" x14ac:dyDescent="0.25">
      <c r="A12" s="9">
        <f>Kvantily!A12</f>
        <v>22</v>
      </c>
      <c r="B12" s="1"/>
      <c r="C12" s="1"/>
      <c r="D12" s="1"/>
      <c r="E12" s="9">
        <f>Boxplot!A12</f>
        <v>40</v>
      </c>
      <c r="F12" s="1"/>
      <c r="G12" s="13" t="s">
        <v>232</v>
      </c>
      <c r="H12" s="14"/>
      <c r="I12" s="1"/>
      <c r="J12" s="1"/>
    </row>
    <row r="13" spans="1:10" ht="22.95" customHeight="1" x14ac:dyDescent="0.25">
      <c r="A13" s="1"/>
      <c r="B13" s="1"/>
      <c r="C13" s="1"/>
      <c r="D13" s="1"/>
      <c r="E13" s="9">
        <f>Boxplot!A13</f>
        <v>42</v>
      </c>
      <c r="F13" s="1"/>
      <c r="G13" s="1"/>
      <c r="H13" s="1"/>
      <c r="I13" s="1"/>
      <c r="J13" s="1"/>
    </row>
    <row r="14" spans="1:10" ht="22.95" customHeight="1" x14ac:dyDescent="0.25">
      <c r="A14" s="1"/>
      <c r="B14" s="1"/>
      <c r="C14" s="1"/>
      <c r="D14" s="1"/>
      <c r="E14" s="9">
        <f>Boxplot!A14</f>
        <v>44</v>
      </c>
      <c r="F14" s="1"/>
      <c r="G14" s="1"/>
      <c r="H14" s="1"/>
      <c r="I14" s="1"/>
      <c r="J14" s="1"/>
    </row>
    <row r="15" spans="1:10" ht="22.95" customHeight="1" x14ac:dyDescent="0.25">
      <c r="A15" s="1"/>
      <c r="B15" s="1"/>
      <c r="C15" s="1"/>
      <c r="D15" s="1"/>
      <c r="E15" s="9">
        <f>Boxplot!A15</f>
        <v>44</v>
      </c>
      <c r="F15" s="1"/>
      <c r="G15" s="1"/>
      <c r="H15" s="1"/>
      <c r="I15" s="1"/>
      <c r="J15" s="1"/>
    </row>
    <row r="16" spans="1:10" ht="22.95" customHeight="1" x14ac:dyDescent="0.25">
      <c r="A16" s="1"/>
      <c r="B16" s="1"/>
      <c r="C16" s="1"/>
      <c r="D16" s="1"/>
      <c r="E16" s="9">
        <f>Boxplot!A16</f>
        <v>46</v>
      </c>
      <c r="F16" s="1"/>
      <c r="G16" s="1"/>
      <c r="H16" s="1"/>
      <c r="I16" s="1"/>
      <c r="J16" s="1"/>
    </row>
    <row r="17" spans="1:10" ht="22.95" customHeight="1" x14ac:dyDescent="0.25">
      <c r="A17" s="1"/>
      <c r="B17" s="1"/>
      <c r="C17" s="1"/>
      <c r="D17" s="1"/>
      <c r="E17" s="9">
        <f>Boxplot!A17</f>
        <v>46</v>
      </c>
      <c r="F17" s="1"/>
      <c r="G17" s="1"/>
      <c r="H17" s="1"/>
      <c r="I17" s="1"/>
      <c r="J17" s="1"/>
    </row>
    <row r="18" spans="1:10" ht="22.95" customHeight="1" x14ac:dyDescent="0.25">
      <c r="A18" s="1"/>
      <c r="B18" s="1"/>
      <c r="C18" s="1"/>
      <c r="D18" s="1"/>
      <c r="E18" s="9">
        <f>Boxplot!A18</f>
        <v>48</v>
      </c>
      <c r="F18" s="1"/>
      <c r="G18" s="1"/>
      <c r="H18" s="1"/>
      <c r="I18" s="1"/>
      <c r="J18" s="1"/>
    </row>
    <row r="19" spans="1:10" ht="22.95" customHeight="1" x14ac:dyDescent="0.25">
      <c r="A19" s="1"/>
      <c r="B19" s="1"/>
      <c r="C19" s="1"/>
      <c r="D19" s="1"/>
      <c r="E19" s="9">
        <f>Boxplot!A19</f>
        <v>48</v>
      </c>
      <c r="F19" s="1"/>
      <c r="G19" s="1"/>
      <c r="H19" s="1"/>
      <c r="I19" s="1"/>
      <c r="J19" s="1"/>
    </row>
    <row r="20" spans="1:10" ht="22.95" customHeight="1" x14ac:dyDescent="0.25">
      <c r="A20" s="1"/>
      <c r="B20" s="1"/>
      <c r="C20" s="1"/>
      <c r="D20" s="1"/>
      <c r="E20" s="9">
        <f>Boxplot!A20</f>
        <v>49</v>
      </c>
      <c r="F20" s="1"/>
      <c r="G20" s="1"/>
      <c r="H20" s="1"/>
      <c r="I20" s="1"/>
      <c r="J20" s="1"/>
    </row>
    <row r="21" spans="1:10" ht="22.95" customHeight="1" x14ac:dyDescent="0.25">
      <c r="A21" s="1"/>
      <c r="B21" s="1"/>
      <c r="C21" s="1"/>
      <c r="D21" s="1"/>
      <c r="E21" s="9">
        <f>Boxplot!A21</f>
        <v>50</v>
      </c>
      <c r="F21" s="1"/>
      <c r="G21" s="1"/>
      <c r="H21" s="1"/>
      <c r="I21" s="1"/>
      <c r="J21" s="1"/>
    </row>
    <row r="22" spans="1:10" ht="22.95" customHeight="1" x14ac:dyDescent="0.25">
      <c r="A22" s="1"/>
      <c r="B22" s="1"/>
      <c r="C22" s="1"/>
      <c r="D22" s="1"/>
      <c r="E22" s="9">
        <f>Boxplot!A22</f>
        <v>50</v>
      </c>
      <c r="F22" s="1"/>
      <c r="G22" s="1"/>
      <c r="H22" s="1"/>
      <c r="I22" s="1"/>
      <c r="J22" s="1"/>
    </row>
    <row r="23" spans="1:10" ht="22.95" customHeight="1" x14ac:dyDescent="0.25">
      <c r="A23" s="1"/>
      <c r="B23" s="1"/>
      <c r="C23" s="1"/>
      <c r="D23" s="1"/>
      <c r="E23" s="9">
        <f>Boxplot!A23</f>
        <v>50</v>
      </c>
      <c r="F23" s="1"/>
      <c r="G23" s="1"/>
      <c r="H23" s="1"/>
      <c r="I23" s="1"/>
      <c r="J23" s="1"/>
    </row>
    <row r="24" spans="1:10" ht="22.95" customHeight="1" x14ac:dyDescent="0.25">
      <c r="A24" s="1"/>
      <c r="B24" s="1"/>
      <c r="C24" s="1"/>
      <c r="D24" s="1"/>
      <c r="E24" s="9">
        <f>Boxplot!A24</f>
        <v>51</v>
      </c>
      <c r="F24" s="1"/>
      <c r="G24" s="1"/>
      <c r="H24" s="1"/>
      <c r="I24" s="1"/>
      <c r="J24" s="1"/>
    </row>
    <row r="25" spans="1:10" ht="22.95" customHeight="1" x14ac:dyDescent="0.25">
      <c r="A25" s="1"/>
      <c r="B25" s="1"/>
      <c r="C25" s="1"/>
      <c r="D25" s="1"/>
      <c r="E25" s="9">
        <f>Boxplot!A25</f>
        <v>52</v>
      </c>
      <c r="F25" s="1"/>
      <c r="G25" s="1"/>
      <c r="H25" s="1"/>
      <c r="I25" s="1"/>
      <c r="J25" s="1"/>
    </row>
    <row r="26" spans="1:10" ht="22.95" customHeight="1" x14ac:dyDescent="0.25">
      <c r="A26" s="1"/>
      <c r="B26" s="1"/>
      <c r="C26" s="1"/>
      <c r="D26" s="1"/>
      <c r="E26" s="9">
        <f>Boxplot!A26</f>
        <v>52</v>
      </c>
      <c r="F26" s="1"/>
      <c r="G26" s="1"/>
      <c r="H26" s="1"/>
      <c r="I26" s="1"/>
      <c r="J26" s="1"/>
    </row>
    <row r="27" spans="1:10" ht="22.95" customHeight="1" x14ac:dyDescent="0.25">
      <c r="A27" s="1"/>
      <c r="B27" s="1"/>
      <c r="C27" s="1"/>
      <c r="D27" s="1"/>
      <c r="E27" s="9">
        <f>Boxplot!A27</f>
        <v>54</v>
      </c>
      <c r="F27" s="1"/>
      <c r="G27" s="1"/>
      <c r="H27" s="1"/>
      <c r="I27" s="1"/>
      <c r="J27" s="1"/>
    </row>
    <row r="28" spans="1:10" ht="22.95" customHeight="1" x14ac:dyDescent="0.25">
      <c r="A28" s="1"/>
      <c r="B28" s="1"/>
      <c r="C28" s="1"/>
      <c r="D28" s="1"/>
      <c r="E28" s="9">
        <f>Boxplot!A28</f>
        <v>54</v>
      </c>
      <c r="F28" s="1"/>
      <c r="G28" s="1"/>
      <c r="H28" s="1"/>
      <c r="I28" s="1"/>
      <c r="J28" s="1"/>
    </row>
    <row r="29" spans="1:10" ht="22.95" customHeight="1" x14ac:dyDescent="0.25">
      <c r="A29" s="1"/>
      <c r="B29" s="1"/>
      <c r="C29" s="1"/>
      <c r="D29" s="1"/>
      <c r="E29" s="9">
        <f>Boxplot!A29</f>
        <v>56</v>
      </c>
      <c r="F29" s="1"/>
      <c r="G29" s="1"/>
      <c r="H29" s="1"/>
      <c r="I29" s="1"/>
      <c r="J29" s="1"/>
    </row>
    <row r="30" spans="1:10" ht="22.95" customHeight="1" x14ac:dyDescent="0.25">
      <c r="A30" s="1"/>
      <c r="B30" s="1"/>
      <c r="C30" s="1"/>
      <c r="D30" s="1"/>
      <c r="E30" s="9">
        <f>Boxplot!A30</f>
        <v>56</v>
      </c>
      <c r="F30" s="1"/>
      <c r="G30" s="1"/>
      <c r="H30" s="1"/>
      <c r="I30" s="1"/>
      <c r="J30" s="1"/>
    </row>
    <row r="31" spans="1:10" ht="22.95" customHeight="1" x14ac:dyDescent="0.25">
      <c r="A31" s="1"/>
      <c r="B31" s="1"/>
      <c r="C31" s="1"/>
      <c r="D31" s="1"/>
      <c r="E31" s="9">
        <f>Boxplot!A31</f>
        <v>58</v>
      </c>
      <c r="F31" s="1"/>
      <c r="G31" s="1"/>
      <c r="H31" s="1"/>
      <c r="I31" s="1"/>
      <c r="J31" s="1"/>
    </row>
    <row r="32" spans="1:10" ht="22.95" customHeight="1" x14ac:dyDescent="0.25">
      <c r="A32" s="1"/>
      <c r="B32" s="1"/>
      <c r="C32" s="1"/>
      <c r="D32" s="1"/>
      <c r="E32" s="9">
        <f>Boxplot!A32</f>
        <v>60</v>
      </c>
      <c r="F32" s="1"/>
      <c r="G32" s="1"/>
      <c r="H32" s="1"/>
      <c r="I32" s="1"/>
      <c r="J32" s="1"/>
    </row>
    <row r="33" spans="1:10" ht="22.95" customHeight="1" x14ac:dyDescent="0.25">
      <c r="A33" s="1"/>
      <c r="B33" s="1"/>
      <c r="C33" s="1"/>
      <c r="D33" s="1"/>
      <c r="E33" s="9">
        <f>Boxplot!A33</f>
        <v>60</v>
      </c>
      <c r="F33" s="1"/>
      <c r="G33" s="1"/>
      <c r="H33" s="1"/>
      <c r="I33" s="1"/>
      <c r="J33" s="1"/>
    </row>
    <row r="34" spans="1:10" ht="22.95" customHeight="1" x14ac:dyDescent="0.25">
      <c r="A34" s="1"/>
      <c r="B34" s="1"/>
      <c r="C34" s="1"/>
      <c r="D34" s="1"/>
      <c r="E34" s="9">
        <f>Boxplot!A34</f>
        <v>62</v>
      </c>
      <c r="F34" s="1"/>
      <c r="G34" s="1"/>
      <c r="H34" s="1"/>
      <c r="I34" s="1"/>
      <c r="J34" s="1"/>
    </row>
    <row r="35" spans="1:10" ht="22.95" customHeight="1" x14ac:dyDescent="0.25">
      <c r="A35" s="1"/>
      <c r="B35" s="1"/>
      <c r="C35" s="1"/>
      <c r="D35" s="1"/>
      <c r="E35" s="9">
        <f>Boxplot!A35</f>
        <v>64</v>
      </c>
      <c r="F35" s="1"/>
      <c r="G35" s="1"/>
      <c r="H35" s="1"/>
      <c r="I35" s="1"/>
      <c r="J35" s="1"/>
    </row>
    <row r="36" spans="1:10" ht="22.95" customHeight="1" x14ac:dyDescent="0.25">
      <c r="A36" s="1"/>
      <c r="B36" s="1"/>
      <c r="C36" s="1"/>
      <c r="D36" s="1"/>
      <c r="E36" s="9">
        <f>Boxplot!A36</f>
        <v>66</v>
      </c>
      <c r="F36" s="1"/>
      <c r="G36" s="1"/>
      <c r="H36" s="1"/>
      <c r="I36" s="1"/>
      <c r="J36" s="1"/>
    </row>
    <row r="37" spans="1:10" ht="22.95" customHeight="1" x14ac:dyDescent="0.25">
      <c r="A37" s="1"/>
      <c r="B37" s="1"/>
      <c r="C37" s="1"/>
      <c r="D37" s="1"/>
      <c r="E37" s="9">
        <f>Boxplot!A37</f>
        <v>68</v>
      </c>
      <c r="F37" s="1"/>
      <c r="G37" s="1"/>
      <c r="H37" s="1"/>
      <c r="I37" s="1"/>
      <c r="J37" s="1"/>
    </row>
    <row r="38" spans="1:10" ht="22.95" customHeight="1" x14ac:dyDescent="0.25">
      <c r="A38" s="1"/>
      <c r="B38" s="1"/>
      <c r="C38" s="1"/>
      <c r="D38" s="1"/>
      <c r="E38" s="9">
        <f>Boxplot!A38</f>
        <v>70</v>
      </c>
      <c r="F38" s="1"/>
      <c r="G38" s="1"/>
      <c r="H38" s="1"/>
      <c r="I38" s="1"/>
      <c r="J38" s="1"/>
    </row>
    <row r="39" spans="1:10" ht="22.95" customHeight="1" x14ac:dyDescent="0.25">
      <c r="A39" s="1"/>
      <c r="B39" s="1"/>
      <c r="C39" s="1"/>
      <c r="D39" s="1"/>
      <c r="E39" s="9">
        <f>Boxplot!A39</f>
        <v>75</v>
      </c>
      <c r="F39" s="1"/>
      <c r="G39" s="1"/>
      <c r="H39" s="1"/>
      <c r="I39" s="1"/>
      <c r="J39" s="1"/>
    </row>
    <row r="40" spans="1:10" ht="22.95" customHeight="1" x14ac:dyDescent="0.25">
      <c r="A40" s="1"/>
      <c r="B40" s="1"/>
      <c r="C40" s="1"/>
      <c r="D40" s="1"/>
      <c r="E40" s="9">
        <f>Boxplot!A40</f>
        <v>85</v>
      </c>
      <c r="F40" s="1"/>
      <c r="G40" s="1"/>
      <c r="H40" s="1"/>
      <c r="I40" s="1"/>
      <c r="J40" s="1"/>
    </row>
    <row r="41" spans="1:10" x14ac:dyDescent="0.25">
      <c r="E41" s="22">
        <f>Boxplot!A41</f>
        <v>95</v>
      </c>
    </row>
    <row r="42" spans="1:10" x14ac:dyDescent="0.25">
      <c r="E42" s="22">
        <f>Boxplot!A42</f>
        <v>98</v>
      </c>
    </row>
  </sheetData>
  <mergeCells count="2">
    <mergeCell ref="G10:H10"/>
    <mergeCell ref="G12:H1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3495-794F-42FF-A36D-07952B397A68}">
  <dimension ref="A1:J40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14.625" customWidth="1"/>
    <col min="4" max="4" width="20.625" customWidth="1"/>
    <col min="5" max="10" width="14.625" customWidth="1"/>
  </cols>
  <sheetData>
    <row r="1" spans="1:10" ht="36" customHeight="1" x14ac:dyDescent="0.25">
      <c r="A1" s="4" t="s">
        <v>233</v>
      </c>
      <c r="B1" s="4" t="s">
        <v>234</v>
      </c>
      <c r="C1" s="4" t="s">
        <v>235</v>
      </c>
      <c r="D1" s="4" t="s">
        <v>236</v>
      </c>
      <c r="E1" s="4" t="s">
        <v>237</v>
      </c>
      <c r="F1" s="1"/>
      <c r="G1" s="13" t="s">
        <v>276</v>
      </c>
      <c r="H1" s="14"/>
      <c r="I1" s="14"/>
      <c r="J1" s="14"/>
    </row>
    <row r="2" spans="1:10" ht="22.95" customHeight="1" x14ac:dyDescent="0.25">
      <c r="A2" s="2" t="s">
        <v>238</v>
      </c>
      <c r="B2" s="23">
        <v>6</v>
      </c>
      <c r="C2" s="5">
        <v>5</v>
      </c>
      <c r="D2" s="20" t="s">
        <v>239</v>
      </c>
      <c r="E2" s="5">
        <v>2</v>
      </c>
      <c r="F2" s="1"/>
      <c r="G2" s="1"/>
      <c r="H2" s="1"/>
      <c r="I2" s="1"/>
      <c r="J2" s="1"/>
    </row>
    <row r="3" spans="1:10" ht="36" customHeight="1" x14ac:dyDescent="0.25">
      <c r="A3" s="2" t="s">
        <v>240</v>
      </c>
      <c r="B3" s="23">
        <v>8</v>
      </c>
      <c r="C3" s="5">
        <v>9</v>
      </c>
      <c r="D3" s="20" t="s">
        <v>241</v>
      </c>
      <c r="E3" s="5">
        <v>4</v>
      </c>
      <c r="F3" s="1"/>
      <c r="G3" s="13" t="s">
        <v>277</v>
      </c>
      <c r="H3" s="14"/>
      <c r="I3" s="14"/>
      <c r="J3" s="14"/>
    </row>
    <row r="4" spans="1:10" ht="22.95" customHeight="1" x14ac:dyDescent="0.25">
      <c r="A4" s="2" t="s">
        <v>242</v>
      </c>
      <c r="B4" s="23">
        <v>7</v>
      </c>
      <c r="C4" s="5">
        <v>8</v>
      </c>
      <c r="D4" s="20" t="s">
        <v>239</v>
      </c>
      <c r="E4" s="5">
        <v>3</v>
      </c>
      <c r="F4" s="1"/>
      <c r="G4" s="1"/>
      <c r="H4" s="1"/>
      <c r="I4" s="1"/>
      <c r="J4" s="1"/>
    </row>
    <row r="5" spans="1:10" ht="36" customHeight="1" x14ac:dyDescent="0.25">
      <c r="A5" s="2" t="s">
        <v>243</v>
      </c>
      <c r="B5" s="23">
        <v>5</v>
      </c>
      <c r="C5" s="5">
        <v>6</v>
      </c>
      <c r="D5" s="20" t="s">
        <v>241</v>
      </c>
      <c r="E5" s="5">
        <v>2</v>
      </c>
      <c r="F5" s="1"/>
      <c r="G5" s="13" t="s">
        <v>278</v>
      </c>
      <c r="H5" s="14"/>
      <c r="I5" s="14"/>
      <c r="J5" s="14"/>
    </row>
    <row r="6" spans="1:10" ht="22.95" customHeight="1" x14ac:dyDescent="0.25">
      <c r="A6" s="2" t="s">
        <v>244</v>
      </c>
      <c r="B6" s="23"/>
      <c r="C6" s="5">
        <v>7</v>
      </c>
      <c r="D6" s="20" t="s">
        <v>239</v>
      </c>
      <c r="E6" s="5">
        <v>3</v>
      </c>
      <c r="F6" s="1"/>
      <c r="G6" s="1"/>
      <c r="H6" s="1"/>
      <c r="I6" s="1"/>
      <c r="J6" s="1"/>
    </row>
    <row r="7" spans="1:10" ht="36" customHeight="1" x14ac:dyDescent="0.25">
      <c r="A7" s="2" t="s">
        <v>245</v>
      </c>
      <c r="B7" s="23">
        <v>7</v>
      </c>
      <c r="C7" s="5">
        <v>0</v>
      </c>
      <c r="D7" s="20" t="s">
        <v>241</v>
      </c>
      <c r="E7" s="5">
        <v>1</v>
      </c>
      <c r="F7" s="1"/>
      <c r="G7" s="13" t="s">
        <v>279</v>
      </c>
      <c r="H7" s="14"/>
      <c r="I7" s="14"/>
      <c r="J7" s="14"/>
    </row>
    <row r="8" spans="1:10" ht="22.95" customHeight="1" x14ac:dyDescent="0.25">
      <c r="A8" s="2" t="s">
        <v>246</v>
      </c>
      <c r="B8" s="23">
        <v>4.5</v>
      </c>
      <c r="C8" s="5">
        <v>2</v>
      </c>
      <c r="D8" s="20" t="s">
        <v>241</v>
      </c>
      <c r="E8" s="5">
        <v>1</v>
      </c>
      <c r="F8" s="1"/>
      <c r="G8" s="1"/>
      <c r="H8" s="1"/>
      <c r="I8" s="1"/>
      <c r="J8" s="1"/>
    </row>
    <row r="9" spans="1:10" ht="36" customHeight="1" x14ac:dyDescent="0.25">
      <c r="A9" s="2" t="s">
        <v>247</v>
      </c>
      <c r="B9" s="23">
        <v>6.3</v>
      </c>
      <c r="C9" s="5">
        <v>7</v>
      </c>
      <c r="D9" s="20" t="s">
        <v>239</v>
      </c>
      <c r="E9" s="5">
        <v>3</v>
      </c>
      <c r="F9" s="1"/>
      <c r="G9" s="13" t="s">
        <v>280</v>
      </c>
      <c r="H9" s="14"/>
      <c r="I9" s="14"/>
      <c r="J9" s="14"/>
    </row>
    <row r="10" spans="1:10" ht="22.95" customHeight="1" x14ac:dyDescent="0.25">
      <c r="A10" s="2" t="s">
        <v>248</v>
      </c>
      <c r="B10" s="23">
        <v>7.3</v>
      </c>
      <c r="C10" s="5">
        <v>9</v>
      </c>
      <c r="D10" s="20" t="s">
        <v>239</v>
      </c>
      <c r="E10" s="5">
        <v>4</v>
      </c>
      <c r="F10" s="1"/>
      <c r="G10" s="1"/>
      <c r="H10" s="1"/>
      <c r="I10" s="1"/>
      <c r="J10" s="1"/>
    </row>
    <row r="11" spans="1:10" ht="36" customHeight="1" x14ac:dyDescent="0.25">
      <c r="A11" s="2" t="s">
        <v>249</v>
      </c>
      <c r="B11" s="23">
        <v>8.1</v>
      </c>
      <c r="C11" s="5">
        <v>4</v>
      </c>
      <c r="D11" s="20" t="s">
        <v>241</v>
      </c>
      <c r="E11" s="5">
        <v>2</v>
      </c>
      <c r="F11" s="1"/>
      <c r="G11" s="13" t="s">
        <v>281</v>
      </c>
      <c r="H11" s="14"/>
      <c r="I11" s="14"/>
      <c r="J11" s="14"/>
    </row>
    <row r="12" spans="1:10" ht="22.95" customHeight="1" x14ac:dyDescent="0.25">
      <c r="A12" s="2" t="s">
        <v>250</v>
      </c>
      <c r="B12" s="23"/>
      <c r="C12" s="5">
        <v>7</v>
      </c>
      <c r="D12" s="20" t="s">
        <v>239</v>
      </c>
      <c r="E12" s="5">
        <v>3</v>
      </c>
      <c r="F12" s="1"/>
      <c r="G12" s="1"/>
      <c r="H12" s="1"/>
      <c r="I12" s="1"/>
      <c r="J12" s="1"/>
    </row>
    <row r="13" spans="1:10" ht="36" customHeight="1" x14ac:dyDescent="0.25">
      <c r="A13" s="2" t="s">
        <v>251</v>
      </c>
      <c r="B13" s="23">
        <v>6</v>
      </c>
      <c r="C13" s="5">
        <v>10</v>
      </c>
      <c r="D13" s="20" t="s">
        <v>239</v>
      </c>
      <c r="E13" s="5">
        <v>2</v>
      </c>
      <c r="F13" s="1"/>
      <c r="G13" s="13" t="s">
        <v>282</v>
      </c>
      <c r="H13" s="14"/>
      <c r="I13" s="14"/>
      <c r="J13" s="14"/>
    </row>
    <row r="14" spans="1:10" ht="22.95" customHeight="1" x14ac:dyDescent="0.25">
      <c r="A14" s="2" t="s">
        <v>252</v>
      </c>
      <c r="B14" s="23">
        <v>7.1</v>
      </c>
      <c r="C14" s="5">
        <v>5</v>
      </c>
      <c r="D14" s="20" t="s">
        <v>241</v>
      </c>
      <c r="E14" s="5">
        <v>3</v>
      </c>
      <c r="F14" s="1"/>
      <c r="G14" s="1"/>
      <c r="H14" s="1"/>
      <c r="I14" s="1"/>
      <c r="J14" s="1"/>
    </row>
    <row r="15" spans="1:10" ht="22.95" customHeight="1" x14ac:dyDescent="0.25">
      <c r="A15" s="2" t="s">
        <v>253</v>
      </c>
      <c r="B15" s="23">
        <v>7.9</v>
      </c>
      <c r="C15" s="5">
        <v>8</v>
      </c>
      <c r="D15" s="20" t="s">
        <v>239</v>
      </c>
      <c r="E15" s="5">
        <v>1</v>
      </c>
      <c r="F15" s="1"/>
      <c r="G15" s="1"/>
      <c r="H15" s="1"/>
      <c r="I15" s="1"/>
      <c r="J15" s="1"/>
    </row>
    <row r="16" spans="1:10" ht="22.95" customHeight="1" x14ac:dyDescent="0.25">
      <c r="A16" s="2" t="s">
        <v>254</v>
      </c>
      <c r="B16" s="23">
        <v>9.1999999999999993</v>
      </c>
      <c r="C16" s="5">
        <v>11</v>
      </c>
      <c r="D16" s="20" t="s">
        <v>239</v>
      </c>
      <c r="E16" s="5">
        <v>3</v>
      </c>
      <c r="F16" s="1"/>
      <c r="G16" s="1"/>
      <c r="H16" s="1"/>
      <c r="I16" s="1"/>
      <c r="J16" s="1"/>
    </row>
    <row r="17" spans="1:10" ht="22.95" customHeight="1" x14ac:dyDescent="0.25">
      <c r="A17" s="2" t="s">
        <v>255</v>
      </c>
      <c r="B17" s="23">
        <v>5.5</v>
      </c>
      <c r="C17" s="5">
        <v>6</v>
      </c>
      <c r="D17" s="20" t="s">
        <v>241</v>
      </c>
      <c r="E17" s="5">
        <v>4</v>
      </c>
      <c r="F17" s="1"/>
      <c r="G17" s="1"/>
      <c r="H17" s="1"/>
      <c r="I17" s="1"/>
      <c r="J17" s="1"/>
    </row>
    <row r="18" spans="1:10" ht="22.95" customHeight="1" x14ac:dyDescent="0.25">
      <c r="A18" s="2" t="s">
        <v>256</v>
      </c>
      <c r="B18" s="23">
        <v>6.8</v>
      </c>
      <c r="C18" s="5">
        <v>8</v>
      </c>
      <c r="D18" s="20" t="s">
        <v>239</v>
      </c>
      <c r="E18" s="5">
        <v>2</v>
      </c>
      <c r="F18" s="1"/>
      <c r="G18" s="1"/>
      <c r="H18" s="1"/>
      <c r="I18" s="1"/>
      <c r="J18" s="1"/>
    </row>
    <row r="19" spans="1:10" ht="22.95" customHeight="1" x14ac:dyDescent="0.25">
      <c r="A19" s="2" t="s">
        <v>257</v>
      </c>
      <c r="B19" s="23">
        <v>7.5</v>
      </c>
      <c r="C19" s="5">
        <v>3</v>
      </c>
      <c r="D19" s="20" t="s">
        <v>239</v>
      </c>
      <c r="E19" s="5">
        <v>4</v>
      </c>
      <c r="F19" s="1"/>
      <c r="G19" s="1"/>
      <c r="H19" s="1"/>
      <c r="I19" s="1"/>
      <c r="J19" s="1"/>
    </row>
    <row r="20" spans="1:10" ht="22.95" customHeight="1" x14ac:dyDescent="0.25">
      <c r="A20" s="2" t="s">
        <v>258</v>
      </c>
      <c r="B20" s="23">
        <v>8.8000000000000007</v>
      </c>
      <c r="C20" s="5">
        <v>7</v>
      </c>
      <c r="D20" s="20" t="s">
        <v>241</v>
      </c>
      <c r="E20" s="5">
        <v>2</v>
      </c>
      <c r="F20" s="1"/>
      <c r="G20" s="1"/>
      <c r="H20" s="1"/>
      <c r="I20" s="1"/>
      <c r="J20" s="1"/>
    </row>
    <row r="21" spans="1:10" ht="22.95" customHeight="1" x14ac:dyDescent="0.25">
      <c r="A21" s="2" t="s">
        <v>259</v>
      </c>
      <c r="B21" s="23">
        <v>4.8</v>
      </c>
      <c r="C21" s="5">
        <v>9</v>
      </c>
      <c r="D21" s="20" t="s">
        <v>239</v>
      </c>
      <c r="E21" s="5">
        <v>3</v>
      </c>
      <c r="F21" s="1"/>
      <c r="G21" s="1"/>
      <c r="H21" s="1"/>
      <c r="I21" s="1"/>
      <c r="J21" s="1"/>
    </row>
    <row r="22" spans="1:10" ht="22.95" customHeight="1" x14ac:dyDescent="0.25">
      <c r="A22" s="2" t="s">
        <v>260</v>
      </c>
      <c r="B22" s="23">
        <v>6.5</v>
      </c>
      <c r="C22" s="5">
        <v>5</v>
      </c>
      <c r="D22" s="20" t="s">
        <v>239</v>
      </c>
      <c r="E22" s="5">
        <v>1</v>
      </c>
      <c r="F22" s="1"/>
      <c r="G22" s="1"/>
      <c r="H22" s="1"/>
      <c r="I22" s="1"/>
      <c r="J22" s="1"/>
    </row>
    <row r="23" spans="1:10" ht="22.95" customHeight="1" x14ac:dyDescent="0.25">
      <c r="A23" s="2" t="s">
        <v>261</v>
      </c>
      <c r="B23" s="23">
        <v>7.4</v>
      </c>
      <c r="C23" s="5">
        <v>7</v>
      </c>
      <c r="D23" s="20" t="s">
        <v>241</v>
      </c>
      <c r="E23" s="5">
        <v>3</v>
      </c>
      <c r="F23" s="1"/>
      <c r="G23" s="1"/>
      <c r="H23" s="1"/>
      <c r="I23" s="1"/>
      <c r="J23" s="1"/>
    </row>
    <row r="24" spans="1:10" ht="22.95" customHeight="1" x14ac:dyDescent="0.25">
      <c r="A24" s="2" t="s">
        <v>262</v>
      </c>
      <c r="B24" s="23">
        <v>8.3000000000000007</v>
      </c>
      <c r="C24" s="5">
        <v>10</v>
      </c>
      <c r="D24" s="20" t="s">
        <v>239</v>
      </c>
      <c r="E24" s="5">
        <v>4</v>
      </c>
      <c r="F24" s="1"/>
      <c r="G24" s="1"/>
      <c r="H24" s="1"/>
      <c r="I24" s="1"/>
      <c r="J24" s="1"/>
    </row>
    <row r="25" spans="1:10" ht="22.95" customHeight="1" x14ac:dyDescent="0.25">
      <c r="A25" s="2" t="s">
        <v>263</v>
      </c>
      <c r="B25" s="23"/>
      <c r="C25" s="5">
        <v>6</v>
      </c>
      <c r="D25" s="20" t="s">
        <v>239</v>
      </c>
      <c r="E25" s="5">
        <v>3</v>
      </c>
      <c r="F25" s="1"/>
      <c r="G25" s="1"/>
      <c r="H25" s="1"/>
      <c r="I25" s="1"/>
      <c r="J25" s="1"/>
    </row>
    <row r="26" spans="1:10" ht="22.95" customHeight="1" x14ac:dyDescent="0.25">
      <c r="A26" s="2" t="s">
        <v>264</v>
      </c>
      <c r="B26" s="23">
        <v>6.2</v>
      </c>
      <c r="C26" s="5">
        <v>8</v>
      </c>
      <c r="D26" s="20" t="s">
        <v>241</v>
      </c>
      <c r="E26" s="5">
        <v>4</v>
      </c>
      <c r="F26" s="1"/>
      <c r="G26" s="1"/>
      <c r="H26" s="1"/>
      <c r="I26" s="1"/>
      <c r="J26" s="1"/>
    </row>
    <row r="27" spans="1:10" ht="22.95" customHeight="1" x14ac:dyDescent="0.25">
      <c r="A27" s="2" t="s">
        <v>265</v>
      </c>
      <c r="B27" s="23">
        <v>7.2</v>
      </c>
      <c r="C27" s="5">
        <v>12</v>
      </c>
      <c r="D27" s="20" t="s">
        <v>239</v>
      </c>
      <c r="E27" s="5">
        <v>2</v>
      </c>
      <c r="F27" s="1"/>
      <c r="G27" s="1"/>
      <c r="H27" s="1"/>
      <c r="I27" s="1"/>
      <c r="J27" s="1"/>
    </row>
    <row r="28" spans="1:10" ht="22.95" customHeight="1" x14ac:dyDescent="0.25">
      <c r="A28" s="2" t="s">
        <v>266</v>
      </c>
      <c r="B28" s="23">
        <v>8</v>
      </c>
      <c r="C28" s="5">
        <v>6</v>
      </c>
      <c r="D28" s="20" t="s">
        <v>239</v>
      </c>
      <c r="E28" s="5">
        <v>3</v>
      </c>
      <c r="F28" s="1"/>
      <c r="G28" s="1"/>
      <c r="H28" s="1"/>
      <c r="I28" s="1"/>
      <c r="J28" s="1"/>
    </row>
    <row r="29" spans="1:10" ht="22.95" customHeight="1" x14ac:dyDescent="0.25">
      <c r="A29" s="2" t="s">
        <v>267</v>
      </c>
      <c r="B29" s="23">
        <v>9.5</v>
      </c>
      <c r="C29" s="5">
        <v>9</v>
      </c>
      <c r="D29" s="20" t="s">
        <v>241</v>
      </c>
      <c r="E29" s="5">
        <v>2</v>
      </c>
      <c r="F29" s="1"/>
      <c r="G29" s="1"/>
      <c r="H29" s="1"/>
      <c r="I29" s="1"/>
      <c r="J29" s="1"/>
    </row>
    <row r="30" spans="1:10" ht="22.95" customHeight="1" x14ac:dyDescent="0.25">
      <c r="A30" s="2" t="s">
        <v>268</v>
      </c>
      <c r="B30" s="23">
        <v>5.8</v>
      </c>
      <c r="C30" s="5">
        <v>4</v>
      </c>
      <c r="D30" s="20" t="s">
        <v>239</v>
      </c>
      <c r="E30" s="5">
        <v>3</v>
      </c>
      <c r="F30" s="1"/>
      <c r="G30" s="1"/>
      <c r="H30" s="1"/>
      <c r="I30" s="1"/>
      <c r="J30" s="1"/>
    </row>
    <row r="31" spans="1:10" ht="22.95" customHeight="1" x14ac:dyDescent="0.25">
      <c r="A31" s="2" t="s">
        <v>269</v>
      </c>
      <c r="B31" s="23">
        <v>7</v>
      </c>
      <c r="C31" s="5">
        <v>7</v>
      </c>
      <c r="D31" s="20" t="s">
        <v>239</v>
      </c>
      <c r="E31" s="5">
        <v>4</v>
      </c>
      <c r="F31" s="1"/>
      <c r="G31" s="1"/>
      <c r="H31" s="1"/>
      <c r="I31" s="1"/>
      <c r="J31" s="1"/>
    </row>
    <row r="32" spans="1:10" ht="22.95" customHeight="1" x14ac:dyDescent="0.25">
      <c r="A32" s="2" t="s">
        <v>270</v>
      </c>
      <c r="B32" s="23">
        <v>7.7</v>
      </c>
      <c r="C32" s="5">
        <v>10</v>
      </c>
      <c r="D32" s="20" t="s">
        <v>241</v>
      </c>
      <c r="E32" s="5">
        <v>3</v>
      </c>
      <c r="F32" s="1"/>
      <c r="G32" s="1"/>
      <c r="H32" s="1"/>
      <c r="I32" s="1"/>
      <c r="J32" s="1"/>
    </row>
    <row r="33" spans="1:10" ht="22.95" customHeight="1" x14ac:dyDescent="0.25">
      <c r="A33" s="2" t="s">
        <v>271</v>
      </c>
      <c r="B33" s="23">
        <v>9</v>
      </c>
      <c r="C33" s="5">
        <v>5</v>
      </c>
      <c r="D33" s="20" t="s">
        <v>239</v>
      </c>
      <c r="E33" s="5">
        <v>4</v>
      </c>
      <c r="F33" s="1"/>
      <c r="G33" s="1"/>
      <c r="H33" s="1"/>
      <c r="I33" s="1"/>
      <c r="J33" s="1"/>
    </row>
    <row r="34" spans="1:10" ht="22.95" customHeight="1" x14ac:dyDescent="0.25">
      <c r="A34" s="2" t="s">
        <v>272</v>
      </c>
      <c r="B34" s="23">
        <v>5.2</v>
      </c>
      <c r="C34" s="5">
        <v>8</v>
      </c>
      <c r="D34" s="20" t="s">
        <v>239</v>
      </c>
      <c r="E34" s="5">
        <v>2</v>
      </c>
      <c r="F34" s="1"/>
      <c r="G34" s="1"/>
      <c r="H34" s="1"/>
      <c r="I34" s="1"/>
      <c r="J34" s="1"/>
    </row>
    <row r="35" spans="1:10" ht="22.95" customHeight="1" x14ac:dyDescent="0.25">
      <c r="A35" s="2" t="s">
        <v>273</v>
      </c>
      <c r="B35" s="23">
        <v>6.5</v>
      </c>
      <c r="C35" s="5">
        <v>11</v>
      </c>
      <c r="D35" s="20" t="s">
        <v>241</v>
      </c>
      <c r="E35" s="5">
        <v>3</v>
      </c>
      <c r="F35" s="1"/>
      <c r="G35" s="1"/>
      <c r="H35" s="1"/>
      <c r="I35" s="1"/>
      <c r="J35" s="1"/>
    </row>
    <row r="36" spans="1:10" ht="22.95" customHeight="1" x14ac:dyDescent="0.25">
      <c r="A36" s="2" t="s">
        <v>274</v>
      </c>
      <c r="B36" s="23">
        <v>7.5</v>
      </c>
      <c r="C36" s="5">
        <v>6</v>
      </c>
      <c r="D36" s="20" t="s">
        <v>239</v>
      </c>
      <c r="E36" s="5">
        <v>2</v>
      </c>
      <c r="F36" s="1"/>
      <c r="G36" s="1"/>
      <c r="H36" s="1"/>
      <c r="I36" s="1"/>
      <c r="J36" s="1"/>
    </row>
    <row r="37" spans="1:10" ht="22.95" customHeight="1" x14ac:dyDescent="0.25">
      <c r="A37" s="2" t="s">
        <v>275</v>
      </c>
      <c r="B37" s="23">
        <v>8.5</v>
      </c>
      <c r="C37" s="5">
        <v>8</v>
      </c>
      <c r="D37" s="20" t="s">
        <v>239</v>
      </c>
      <c r="E37" s="5">
        <v>3</v>
      </c>
      <c r="F37" s="1"/>
      <c r="G37" s="1"/>
      <c r="H37" s="1"/>
      <c r="I37" s="1"/>
      <c r="J37" s="1"/>
    </row>
    <row r="38" spans="1:10" ht="22.9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2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2.9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7">
    <mergeCell ref="G13:J13"/>
    <mergeCell ref="G1:J1"/>
    <mergeCell ref="G3:J3"/>
    <mergeCell ref="G5:J5"/>
    <mergeCell ref="G7:J7"/>
    <mergeCell ref="G9:J9"/>
    <mergeCell ref="G11:J1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4B57-8D0F-465D-B5EA-87EB75155984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4</v>
      </c>
      <c r="C2" s="19" t="s">
        <v>79</v>
      </c>
    </row>
    <row r="3" spans="1:3" ht="25" customHeight="1" x14ac:dyDescent="0.25">
      <c r="A3" s="16">
        <v>5</v>
      </c>
      <c r="C3" s="18"/>
    </row>
    <row r="4" spans="1:3" ht="25" customHeight="1" x14ac:dyDescent="0.25">
      <c r="A4" s="16">
        <v>5</v>
      </c>
      <c r="C4" s="19" t="s">
        <v>80</v>
      </c>
    </row>
    <row r="5" spans="1:3" ht="25" customHeight="1" x14ac:dyDescent="0.25">
      <c r="A5" s="16">
        <v>6</v>
      </c>
      <c r="C5" s="18"/>
    </row>
    <row r="6" spans="1:3" ht="25" customHeight="1" x14ac:dyDescent="0.25">
      <c r="A6" s="16">
        <v>10</v>
      </c>
      <c r="C6" s="18"/>
    </row>
    <row r="7" spans="1:3" x14ac:dyDescent="0.25"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17B3-5704-4A58-BBDC-5E9AE1D5378E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4" t="s">
        <v>81</v>
      </c>
      <c r="B1" s="4" t="s">
        <v>82</v>
      </c>
      <c r="D1" s="17" t="s">
        <v>78</v>
      </c>
    </row>
    <row r="2" spans="1:4" ht="25" customHeight="1" x14ac:dyDescent="0.25">
      <c r="A2" s="16">
        <v>5</v>
      </c>
      <c r="B2" s="16">
        <v>2</v>
      </c>
      <c r="D2" s="19" t="s">
        <v>83</v>
      </c>
    </row>
    <row r="3" spans="1:4" ht="25" customHeight="1" x14ac:dyDescent="0.25">
      <c r="A3" s="16">
        <v>6</v>
      </c>
      <c r="B3" s="16">
        <v>4</v>
      </c>
      <c r="D3" s="18"/>
    </row>
    <row r="4" spans="1:4" ht="25" customHeight="1" x14ac:dyDescent="0.25">
      <c r="A4" s="16">
        <v>6</v>
      </c>
      <c r="B4" s="16">
        <v>6</v>
      </c>
      <c r="D4" s="19" t="s">
        <v>84</v>
      </c>
    </row>
    <row r="5" spans="1:4" ht="25" customHeight="1" x14ac:dyDescent="0.25">
      <c r="A5" s="16">
        <v>6</v>
      </c>
      <c r="B5" s="16">
        <v>8</v>
      </c>
      <c r="D5" s="18"/>
    </row>
    <row r="6" spans="1:4" ht="25" customHeight="1" x14ac:dyDescent="0.25">
      <c r="A6" s="16">
        <v>7</v>
      </c>
      <c r="B6" s="16">
        <v>10</v>
      </c>
      <c r="D6" s="18"/>
    </row>
    <row r="7" spans="1:4" x14ac:dyDescent="0.25">
      <c r="D7" s="18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BF0D-C737-4EAE-A9F2-DF2E52C99CE4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85</v>
      </c>
      <c r="C1" s="17" t="s">
        <v>78</v>
      </c>
    </row>
    <row r="2" spans="1:3" ht="25" customHeight="1" x14ac:dyDescent="0.25">
      <c r="A2" s="16">
        <v>4</v>
      </c>
      <c r="C2" s="19" t="s">
        <v>86</v>
      </c>
    </row>
    <row r="3" spans="1:3" ht="25" customHeight="1" x14ac:dyDescent="0.25">
      <c r="A3" s="16">
        <v>4</v>
      </c>
      <c r="C3" s="18"/>
    </row>
    <row r="4" spans="1:3" ht="25" customHeight="1" x14ac:dyDescent="0.25">
      <c r="A4" s="16">
        <v>6</v>
      </c>
      <c r="C4" s="19" t="s">
        <v>84</v>
      </c>
    </row>
    <row r="5" spans="1:3" ht="25" customHeight="1" x14ac:dyDescent="0.25">
      <c r="A5" s="16">
        <v>6</v>
      </c>
      <c r="C5" s="18"/>
    </row>
    <row r="6" spans="1:3" ht="25" customHeight="1" x14ac:dyDescent="0.25">
      <c r="A6" s="16">
        <v>9</v>
      </c>
      <c r="C6" s="18"/>
    </row>
    <row r="7" spans="1:3" x14ac:dyDescent="0.25"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2932-2EB2-49BC-A346-6F4FB20FC651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4</v>
      </c>
      <c r="C2" s="19" t="s">
        <v>87</v>
      </c>
    </row>
    <row r="3" spans="1:3" ht="25" customHeight="1" x14ac:dyDescent="0.25">
      <c r="A3" s="16">
        <v>5</v>
      </c>
      <c r="C3" s="18"/>
    </row>
    <row r="4" spans="1:3" ht="25" customHeight="1" x14ac:dyDescent="0.25">
      <c r="A4" s="16">
        <v>6</v>
      </c>
      <c r="C4" s="19" t="s">
        <v>84</v>
      </c>
    </row>
    <row r="5" spans="1:3" ht="25" customHeight="1" x14ac:dyDescent="0.25">
      <c r="A5" s="16">
        <v>10</v>
      </c>
      <c r="C5" s="18"/>
    </row>
    <row r="6" spans="1:3" x14ac:dyDescent="0.25">
      <c r="C6" s="18"/>
    </row>
    <row r="7" spans="1:3" x14ac:dyDescent="0.25"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7DF0-4A8A-4C9C-86F8-2A7A5A886086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85</v>
      </c>
      <c r="C1" s="17" t="s">
        <v>78</v>
      </c>
    </row>
    <row r="2" spans="1:3" ht="25" customHeight="1" x14ac:dyDescent="0.25">
      <c r="A2" s="16">
        <v>1</v>
      </c>
      <c r="C2" s="19" t="s">
        <v>88</v>
      </c>
    </row>
    <row r="3" spans="1:3" ht="25" customHeight="1" x14ac:dyDescent="0.25">
      <c r="A3" s="16">
        <v>2</v>
      </c>
      <c r="C3" s="18"/>
    </row>
    <row r="4" spans="1:3" ht="25" customHeight="1" x14ac:dyDescent="0.25">
      <c r="A4" s="16">
        <v>3</v>
      </c>
      <c r="C4" s="19" t="s">
        <v>84</v>
      </c>
    </row>
    <row r="5" spans="1:3" ht="25" customHeight="1" x14ac:dyDescent="0.25">
      <c r="A5" s="16">
        <v>4</v>
      </c>
      <c r="C5" s="18"/>
    </row>
    <row r="6" spans="1:3" x14ac:dyDescent="0.25">
      <c r="C6" s="18"/>
    </row>
    <row r="7" spans="1:3" x14ac:dyDescent="0.25"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F61A-925E-476B-BBE4-5B7715108558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89</v>
      </c>
      <c r="C1" s="17" t="s">
        <v>78</v>
      </c>
    </row>
    <row r="2" spans="1:3" ht="25" customHeight="1" x14ac:dyDescent="0.25">
      <c r="A2" s="16">
        <v>2</v>
      </c>
      <c r="C2" s="19" t="s">
        <v>90</v>
      </c>
    </row>
    <row r="3" spans="1:3" ht="25" customHeight="1" x14ac:dyDescent="0.25">
      <c r="A3" s="16">
        <v>3</v>
      </c>
      <c r="C3" s="18"/>
    </row>
    <row r="4" spans="1:3" ht="25" customHeight="1" x14ac:dyDescent="0.25">
      <c r="A4" s="16">
        <v>8</v>
      </c>
      <c r="C4" s="19" t="s">
        <v>91</v>
      </c>
    </row>
    <row r="5" spans="1:3" ht="25" customHeight="1" x14ac:dyDescent="0.25">
      <c r="A5" s="16">
        <v>9</v>
      </c>
      <c r="C5" s="18"/>
    </row>
    <row r="6" spans="1:3" x14ac:dyDescent="0.25">
      <c r="C6" s="18"/>
    </row>
    <row r="7" spans="1:3" x14ac:dyDescent="0.25"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D4BF-EA29-41FD-865F-76A1299890AD}">
  <dimension ref="A1:F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4" width="22.625" customWidth="1"/>
    <col min="6" max="6" width="60.625" customWidth="1"/>
  </cols>
  <sheetData>
    <row r="1" spans="1:6" ht="46.05" customHeight="1" x14ac:dyDescent="0.25">
      <c r="A1" s="4" t="s">
        <v>92</v>
      </c>
      <c r="B1" s="4" t="s">
        <v>61</v>
      </c>
      <c r="C1" s="4" t="s">
        <v>93</v>
      </c>
      <c r="D1" s="4" t="s">
        <v>94</v>
      </c>
      <c r="F1" s="17" t="s">
        <v>78</v>
      </c>
    </row>
    <row r="2" spans="1:6" ht="25" customHeight="1" x14ac:dyDescent="0.25">
      <c r="A2" s="16" t="s">
        <v>95</v>
      </c>
      <c r="B2" s="16">
        <v>1</v>
      </c>
      <c r="C2" s="16">
        <v>1</v>
      </c>
      <c r="D2" s="16">
        <v>1</v>
      </c>
      <c r="F2" s="19" t="s">
        <v>99</v>
      </c>
    </row>
    <row r="3" spans="1:6" ht="25" customHeight="1" x14ac:dyDescent="0.25">
      <c r="A3" s="16" t="s">
        <v>96</v>
      </c>
      <c r="B3" s="16">
        <v>2</v>
      </c>
      <c r="C3" s="16">
        <v>2</v>
      </c>
      <c r="D3" s="16">
        <v>2</v>
      </c>
      <c r="F3" s="18"/>
    </row>
    <row r="4" spans="1:6" ht="25" customHeight="1" x14ac:dyDescent="0.25">
      <c r="A4" s="16" t="s">
        <v>97</v>
      </c>
      <c r="B4" s="16">
        <v>2</v>
      </c>
      <c r="C4" s="16">
        <v>3</v>
      </c>
      <c r="D4" s="16">
        <v>10</v>
      </c>
      <c r="F4" s="19" t="s">
        <v>100</v>
      </c>
    </row>
    <row r="5" spans="1:6" ht="25" customHeight="1" x14ac:dyDescent="0.25">
      <c r="A5" s="16" t="s">
        <v>98</v>
      </c>
      <c r="B5" s="16">
        <v>1</v>
      </c>
      <c r="C5" s="16">
        <v>4</v>
      </c>
      <c r="D5" s="16">
        <v>100</v>
      </c>
      <c r="F5" s="18"/>
    </row>
    <row r="6" spans="1:6" x14ac:dyDescent="0.25">
      <c r="F6" s="18"/>
    </row>
    <row r="7" spans="1:6" x14ac:dyDescent="0.25">
      <c r="F7" s="18"/>
    </row>
  </sheetData>
  <mergeCells count="2">
    <mergeCell ref="F2:F3"/>
    <mergeCell ref="F4:F7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CEDF-C00A-4400-9AC7-F757020549FE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101</v>
      </c>
      <c r="B1" s="4" t="s">
        <v>102</v>
      </c>
      <c r="C1" s="4" t="s">
        <v>103</v>
      </c>
      <c r="E1" s="17" t="s">
        <v>78</v>
      </c>
    </row>
    <row r="2" spans="1:5" ht="25" customHeight="1" x14ac:dyDescent="0.25">
      <c r="A2" s="16" t="s">
        <v>64</v>
      </c>
      <c r="B2" s="16">
        <v>10</v>
      </c>
      <c r="C2" s="16">
        <v>4</v>
      </c>
      <c r="E2" s="19" t="s">
        <v>104</v>
      </c>
    </row>
    <row r="3" spans="1:5" ht="25" customHeight="1" x14ac:dyDescent="0.25">
      <c r="A3" s="16" t="s">
        <v>65</v>
      </c>
      <c r="B3" s="16">
        <v>30</v>
      </c>
      <c r="C3" s="16">
        <v>8</v>
      </c>
      <c r="E3" s="18"/>
    </row>
    <row r="4" spans="1:5" x14ac:dyDescent="0.25">
      <c r="E4" s="19" t="s">
        <v>105</v>
      </c>
    </row>
    <row r="5" spans="1:5" x14ac:dyDescent="0.25">
      <c r="E5" s="18"/>
    </row>
    <row r="6" spans="1:5" x14ac:dyDescent="0.25">
      <c r="E6" s="18"/>
    </row>
    <row r="7" spans="1:5" x14ac:dyDescent="0.25">
      <c r="E7" s="18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B97D-265F-46C3-A005-C0429172C76A}">
  <dimension ref="A1:F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4" width="22.625" customWidth="1"/>
    <col min="6" max="6" width="60.625" customWidth="1"/>
  </cols>
  <sheetData>
    <row r="1" spans="1:6" ht="46.05" customHeight="1" x14ac:dyDescent="0.25">
      <c r="A1" s="4" t="s">
        <v>106</v>
      </c>
      <c r="B1" s="4" t="s">
        <v>107</v>
      </c>
      <c r="C1" s="4" t="s">
        <v>108</v>
      </c>
      <c r="D1" s="4" t="s">
        <v>109</v>
      </c>
      <c r="F1" s="17" t="s">
        <v>78</v>
      </c>
    </row>
    <row r="2" spans="1:6" ht="25" customHeight="1" x14ac:dyDescent="0.25">
      <c r="A2" s="16">
        <v>1</v>
      </c>
      <c r="B2" s="16">
        <v>38</v>
      </c>
      <c r="C2" s="16">
        <v>0</v>
      </c>
      <c r="D2" s="16">
        <v>8</v>
      </c>
      <c r="F2" s="19" t="s">
        <v>110</v>
      </c>
    </row>
    <row r="3" spans="1:6" ht="25" customHeight="1" x14ac:dyDescent="0.25">
      <c r="A3" s="16">
        <v>2</v>
      </c>
      <c r="B3" s="16">
        <v>49</v>
      </c>
      <c r="C3" s="16">
        <v>1</v>
      </c>
      <c r="D3" s="16">
        <v>7</v>
      </c>
      <c r="F3" s="18"/>
    </row>
    <row r="4" spans="1:6" ht="25" customHeight="1" x14ac:dyDescent="0.25">
      <c r="A4" s="16">
        <v>3</v>
      </c>
      <c r="B4" s="16">
        <v>8</v>
      </c>
      <c r="C4" s="16">
        <v>2</v>
      </c>
      <c r="D4" s="16">
        <v>3</v>
      </c>
      <c r="F4" s="19" t="s">
        <v>111</v>
      </c>
    </row>
    <row r="5" spans="1:6" ht="25" customHeight="1" x14ac:dyDescent="0.25">
      <c r="A5" s="16">
        <v>4</v>
      </c>
      <c r="B5" s="16">
        <v>3</v>
      </c>
      <c r="C5" s="16">
        <v>3</v>
      </c>
      <c r="D5" s="16">
        <v>1</v>
      </c>
      <c r="F5" s="18"/>
    </row>
    <row r="6" spans="1:6" ht="25" customHeight="1" x14ac:dyDescent="0.25">
      <c r="A6" s="16">
        <v>5</v>
      </c>
      <c r="B6" s="16">
        <v>2</v>
      </c>
      <c r="C6" s="16">
        <v>4</v>
      </c>
      <c r="D6" s="16">
        <v>1</v>
      </c>
      <c r="F6" s="18"/>
    </row>
    <row r="7" spans="1:6" x14ac:dyDescent="0.25">
      <c r="F7" s="18"/>
    </row>
  </sheetData>
  <mergeCells count="2">
    <mergeCell ref="F2:F3"/>
    <mergeCell ref="F4:F7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A2AB-71A6-4687-A8F9-EEDCB09BE15A}">
  <dimension ref="A1:C12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4</v>
      </c>
      <c r="C2" s="19" t="s">
        <v>112</v>
      </c>
    </row>
    <row r="3" spans="1:3" ht="25" customHeight="1" x14ac:dyDescent="0.25">
      <c r="A3" s="16">
        <v>5</v>
      </c>
      <c r="C3" s="18"/>
    </row>
    <row r="4" spans="1:3" ht="25" customHeight="1" x14ac:dyDescent="0.25">
      <c r="A4" s="16">
        <v>7</v>
      </c>
      <c r="C4" s="19" t="s">
        <v>84</v>
      </c>
    </row>
    <row r="5" spans="1:3" ht="25" customHeight="1" x14ac:dyDescent="0.25">
      <c r="A5" s="16">
        <v>8</v>
      </c>
      <c r="C5" s="18"/>
    </row>
    <row r="6" spans="1:3" ht="25" customHeight="1" x14ac:dyDescent="0.25">
      <c r="A6" s="16">
        <v>9</v>
      </c>
      <c r="C6" s="18"/>
    </row>
    <row r="7" spans="1:3" ht="25" customHeight="1" x14ac:dyDescent="0.25">
      <c r="A7" s="16">
        <v>10</v>
      </c>
      <c r="C7" s="18"/>
    </row>
    <row r="8" spans="1:3" ht="25" customHeight="1" x14ac:dyDescent="0.25">
      <c r="A8" s="16">
        <v>12</v>
      </c>
    </row>
    <row r="9" spans="1:3" ht="25" customHeight="1" x14ac:dyDescent="0.25">
      <c r="A9" s="16">
        <v>13</v>
      </c>
    </row>
    <row r="10" spans="1:3" ht="25" customHeight="1" x14ac:dyDescent="0.25">
      <c r="A10" s="16">
        <v>15</v>
      </c>
    </row>
    <row r="11" spans="1:3" ht="25" customHeight="1" x14ac:dyDescent="0.25">
      <c r="A11" s="16">
        <v>18</v>
      </c>
    </row>
    <row r="12" spans="1:3" ht="25" customHeight="1" x14ac:dyDescent="0.25">
      <c r="A12" s="16">
        <v>22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9EE1-72AA-46DA-AE8E-42BBD36930BD}">
  <dimension ref="A1:C1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2</v>
      </c>
      <c r="C2" s="19" t="s">
        <v>113</v>
      </c>
    </row>
    <row r="3" spans="1:3" ht="25" customHeight="1" x14ac:dyDescent="0.25">
      <c r="A3" s="16">
        <v>3</v>
      </c>
      <c r="C3" s="18"/>
    </row>
    <row r="4" spans="1:3" ht="25" customHeight="1" x14ac:dyDescent="0.25">
      <c r="A4" s="16">
        <v>4</v>
      </c>
      <c r="C4" s="19" t="s">
        <v>84</v>
      </c>
    </row>
    <row r="5" spans="1:3" ht="25" customHeight="1" x14ac:dyDescent="0.25">
      <c r="A5" s="16">
        <v>5</v>
      </c>
      <c r="C5" s="18"/>
    </row>
    <row r="6" spans="1:3" ht="25" customHeight="1" x14ac:dyDescent="0.25">
      <c r="A6" s="16">
        <v>5</v>
      </c>
      <c r="C6" s="18"/>
    </row>
    <row r="7" spans="1:3" ht="25" customHeight="1" x14ac:dyDescent="0.25">
      <c r="A7" s="16">
        <v>6</v>
      </c>
      <c r="C7" s="18"/>
    </row>
    <row r="8" spans="1:3" ht="25" customHeight="1" x14ac:dyDescent="0.25">
      <c r="A8" s="16">
        <v>7</v>
      </c>
    </row>
    <row r="9" spans="1:3" ht="25" customHeight="1" x14ac:dyDescent="0.25">
      <c r="A9" s="16">
        <v>8</v>
      </c>
    </row>
    <row r="10" spans="1:3" ht="25" customHeight="1" x14ac:dyDescent="0.25">
      <c r="A10" s="16">
        <v>9</v>
      </c>
    </row>
    <row r="11" spans="1:3" ht="25" customHeight="1" x14ac:dyDescent="0.25">
      <c r="A11" s="16">
        <v>31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53AC-962D-4DD2-9CE2-2D189AC6979C}">
  <dimension ref="A1:C42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114</v>
      </c>
      <c r="C1" s="17" t="s">
        <v>78</v>
      </c>
    </row>
    <row r="2" spans="1:3" ht="25" customHeight="1" x14ac:dyDescent="0.25">
      <c r="A2" s="16">
        <v>2</v>
      </c>
      <c r="C2" s="19" t="s">
        <v>115</v>
      </c>
    </row>
    <row r="3" spans="1:3" ht="25" customHeight="1" x14ac:dyDescent="0.25">
      <c r="A3" s="16">
        <v>5</v>
      </c>
      <c r="C3" s="18"/>
    </row>
    <row r="4" spans="1:3" ht="25" customHeight="1" x14ac:dyDescent="0.25">
      <c r="A4" s="16">
        <v>15</v>
      </c>
      <c r="C4" s="19" t="s">
        <v>84</v>
      </c>
    </row>
    <row r="5" spans="1:3" ht="25" customHeight="1" x14ac:dyDescent="0.25">
      <c r="A5" s="16">
        <v>25</v>
      </c>
      <c r="C5" s="18"/>
    </row>
    <row r="6" spans="1:3" ht="25" customHeight="1" x14ac:dyDescent="0.25">
      <c r="A6" s="16">
        <v>30</v>
      </c>
      <c r="C6" s="18"/>
    </row>
    <row r="7" spans="1:3" ht="25" customHeight="1" x14ac:dyDescent="0.25">
      <c r="A7" s="16">
        <v>32</v>
      </c>
      <c r="C7" s="18"/>
    </row>
    <row r="8" spans="1:3" ht="25" customHeight="1" x14ac:dyDescent="0.25">
      <c r="A8" s="16">
        <v>34</v>
      </c>
    </row>
    <row r="9" spans="1:3" ht="25" customHeight="1" x14ac:dyDescent="0.25">
      <c r="A9" s="16">
        <v>36</v>
      </c>
    </row>
    <row r="10" spans="1:3" ht="25" customHeight="1" x14ac:dyDescent="0.25">
      <c r="A10" s="16">
        <v>38</v>
      </c>
    </row>
    <row r="11" spans="1:3" ht="25" customHeight="1" x14ac:dyDescent="0.25">
      <c r="A11" s="16">
        <v>40</v>
      </c>
    </row>
    <row r="12" spans="1:3" ht="25" customHeight="1" x14ac:dyDescent="0.25">
      <c r="A12" s="16">
        <v>40</v>
      </c>
    </row>
    <row r="13" spans="1:3" ht="25" customHeight="1" x14ac:dyDescent="0.25">
      <c r="A13" s="16">
        <v>42</v>
      </c>
    </row>
    <row r="14" spans="1:3" ht="25" customHeight="1" x14ac:dyDescent="0.25">
      <c r="A14" s="16">
        <v>44</v>
      </c>
    </row>
    <row r="15" spans="1:3" ht="25" customHeight="1" x14ac:dyDescent="0.25">
      <c r="A15" s="16">
        <v>44</v>
      </c>
    </row>
    <row r="16" spans="1:3" ht="25" customHeight="1" x14ac:dyDescent="0.25">
      <c r="A16" s="16">
        <v>46</v>
      </c>
    </row>
    <row r="17" spans="1:1" ht="25" customHeight="1" x14ac:dyDescent="0.25">
      <c r="A17" s="16">
        <v>46</v>
      </c>
    </row>
    <row r="18" spans="1:1" ht="25" customHeight="1" x14ac:dyDescent="0.25">
      <c r="A18" s="16">
        <v>48</v>
      </c>
    </row>
    <row r="19" spans="1:1" ht="25" customHeight="1" x14ac:dyDescent="0.25">
      <c r="A19" s="16">
        <v>48</v>
      </c>
    </row>
    <row r="20" spans="1:1" ht="25" customHeight="1" x14ac:dyDescent="0.25">
      <c r="A20" s="16">
        <v>49</v>
      </c>
    </row>
    <row r="21" spans="1:1" ht="25" customHeight="1" x14ac:dyDescent="0.25">
      <c r="A21" s="16">
        <v>50</v>
      </c>
    </row>
    <row r="22" spans="1:1" ht="25" customHeight="1" x14ac:dyDescent="0.25">
      <c r="A22" s="16">
        <v>50</v>
      </c>
    </row>
    <row r="23" spans="1:1" ht="25" customHeight="1" x14ac:dyDescent="0.25">
      <c r="A23" s="16">
        <v>50</v>
      </c>
    </row>
    <row r="24" spans="1:1" ht="25" customHeight="1" x14ac:dyDescent="0.25">
      <c r="A24" s="16">
        <v>51</v>
      </c>
    </row>
    <row r="25" spans="1:1" ht="25" customHeight="1" x14ac:dyDescent="0.25">
      <c r="A25" s="16">
        <v>52</v>
      </c>
    </row>
    <row r="26" spans="1:1" ht="25" customHeight="1" x14ac:dyDescent="0.25">
      <c r="A26" s="16">
        <v>52</v>
      </c>
    </row>
    <row r="27" spans="1:1" ht="25" customHeight="1" x14ac:dyDescent="0.25">
      <c r="A27" s="16">
        <v>54</v>
      </c>
    </row>
    <row r="28" spans="1:1" ht="25" customHeight="1" x14ac:dyDescent="0.25">
      <c r="A28" s="16">
        <v>54</v>
      </c>
    </row>
    <row r="29" spans="1:1" ht="25" customHeight="1" x14ac:dyDescent="0.25">
      <c r="A29" s="16">
        <v>56</v>
      </c>
    </row>
    <row r="30" spans="1:1" ht="25" customHeight="1" x14ac:dyDescent="0.25">
      <c r="A30" s="16">
        <v>56</v>
      </c>
    </row>
    <row r="31" spans="1:1" ht="25" customHeight="1" x14ac:dyDescent="0.25">
      <c r="A31" s="16">
        <v>58</v>
      </c>
    </row>
    <row r="32" spans="1:1" ht="25" customHeight="1" x14ac:dyDescent="0.25">
      <c r="A32" s="16">
        <v>60</v>
      </c>
    </row>
    <row r="33" spans="1:1" ht="25" customHeight="1" x14ac:dyDescent="0.25">
      <c r="A33" s="16">
        <v>60</v>
      </c>
    </row>
    <row r="34" spans="1:1" ht="25" customHeight="1" x14ac:dyDescent="0.25">
      <c r="A34" s="16">
        <v>62</v>
      </c>
    </row>
    <row r="35" spans="1:1" ht="25" customHeight="1" x14ac:dyDescent="0.25">
      <c r="A35" s="16">
        <v>64</v>
      </c>
    </row>
    <row r="36" spans="1:1" ht="25" customHeight="1" x14ac:dyDescent="0.25">
      <c r="A36" s="16">
        <v>66</v>
      </c>
    </row>
    <row r="37" spans="1:1" ht="25" customHeight="1" x14ac:dyDescent="0.25">
      <c r="A37" s="16">
        <v>68</v>
      </c>
    </row>
    <row r="38" spans="1:1" ht="25" customHeight="1" x14ac:dyDescent="0.25">
      <c r="A38" s="16">
        <v>70</v>
      </c>
    </row>
    <row r="39" spans="1:1" ht="25" customHeight="1" x14ac:dyDescent="0.25">
      <c r="A39" s="16">
        <v>75</v>
      </c>
    </row>
    <row r="40" spans="1:1" ht="25" customHeight="1" x14ac:dyDescent="0.25">
      <c r="A40" s="16">
        <v>85</v>
      </c>
    </row>
    <row r="41" spans="1:1" ht="25" customHeight="1" x14ac:dyDescent="0.25">
      <c r="A41" s="16">
        <v>95</v>
      </c>
    </row>
    <row r="42" spans="1:1" ht="25" customHeight="1" x14ac:dyDescent="0.25">
      <c r="A42" s="16">
        <v>98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C14E-4D98-4ECF-A5E6-273012A39CE2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2</v>
      </c>
      <c r="C2" s="19" t="s">
        <v>116</v>
      </c>
    </row>
    <row r="3" spans="1:3" ht="25" customHeight="1" x14ac:dyDescent="0.25">
      <c r="A3" s="16">
        <v>4</v>
      </c>
      <c r="C3" s="18"/>
    </row>
    <row r="4" spans="1:3" ht="25" customHeight="1" x14ac:dyDescent="0.25">
      <c r="A4" s="16">
        <v>6</v>
      </c>
      <c r="C4" s="19" t="s">
        <v>117</v>
      </c>
    </row>
    <row r="5" spans="1:3" ht="25" customHeight="1" x14ac:dyDescent="0.25">
      <c r="A5" s="16">
        <v>8</v>
      </c>
      <c r="C5" s="18"/>
    </row>
    <row r="6" spans="1:3" ht="25" customHeight="1" x14ac:dyDescent="0.25">
      <c r="A6" s="16">
        <v>10</v>
      </c>
      <c r="C6" s="18"/>
    </row>
    <row r="7" spans="1:3" x14ac:dyDescent="0.25"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137F-CD24-4F21-B200-865581BFCDBA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118</v>
      </c>
      <c r="B1" s="4" t="s">
        <v>119</v>
      </c>
      <c r="C1" s="4" t="s">
        <v>120</v>
      </c>
      <c r="E1" s="17" t="s">
        <v>78</v>
      </c>
    </row>
    <row r="2" spans="1:5" ht="25" customHeight="1" x14ac:dyDescent="0.25">
      <c r="A2" s="16">
        <v>-3</v>
      </c>
      <c r="B2" s="16">
        <v>0</v>
      </c>
      <c r="C2" s="16">
        <v>1</v>
      </c>
      <c r="E2" s="19" t="s">
        <v>121</v>
      </c>
    </row>
    <row r="3" spans="1:5" ht="25" customHeight="1" x14ac:dyDescent="0.25">
      <c r="A3" s="16">
        <v>-1</v>
      </c>
      <c r="B3" s="16">
        <v>10</v>
      </c>
      <c r="C3" s="16">
        <v>9</v>
      </c>
      <c r="E3" s="18"/>
    </row>
    <row r="4" spans="1:5" ht="25" customHeight="1" x14ac:dyDescent="0.25">
      <c r="A4" s="16">
        <v>0</v>
      </c>
      <c r="B4" s="16">
        <v>80</v>
      </c>
      <c r="C4" s="16">
        <v>80</v>
      </c>
      <c r="E4" s="19" t="s">
        <v>84</v>
      </c>
    </row>
    <row r="5" spans="1:5" ht="25" customHeight="1" x14ac:dyDescent="0.25">
      <c r="A5" s="16">
        <v>1</v>
      </c>
      <c r="B5" s="16">
        <v>10</v>
      </c>
      <c r="C5" s="16">
        <v>9</v>
      </c>
      <c r="E5" s="18"/>
    </row>
    <row r="6" spans="1:5" ht="25" customHeight="1" x14ac:dyDescent="0.25">
      <c r="A6" s="16">
        <v>3</v>
      </c>
      <c r="B6" s="16">
        <v>0</v>
      </c>
      <c r="C6" s="16">
        <v>1</v>
      </c>
      <c r="E6" s="18"/>
    </row>
    <row r="7" spans="1:5" x14ac:dyDescent="0.25">
      <c r="E7" s="18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7062-1EDC-4E12-A826-BF60CAA604D8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3</v>
      </c>
      <c r="C2" s="19" t="s">
        <v>122</v>
      </c>
    </row>
    <row r="3" spans="1:3" ht="25" customHeight="1" x14ac:dyDescent="0.25">
      <c r="A3" s="16">
        <v>4</v>
      </c>
      <c r="C3" s="18"/>
    </row>
    <row r="4" spans="1:3" ht="25" customHeight="1" x14ac:dyDescent="0.25">
      <c r="A4" s="16">
        <v>4</v>
      </c>
      <c r="C4" s="19" t="s">
        <v>84</v>
      </c>
    </row>
    <row r="5" spans="1:3" ht="25" customHeight="1" x14ac:dyDescent="0.25">
      <c r="A5" s="16">
        <v>5</v>
      </c>
      <c r="C5" s="18"/>
    </row>
    <row r="6" spans="1:3" ht="25" customHeight="1" x14ac:dyDescent="0.25">
      <c r="A6" s="16">
        <v>6</v>
      </c>
      <c r="C6" s="18"/>
    </row>
    <row r="7" spans="1:3" ht="25" customHeight="1" x14ac:dyDescent="0.25">
      <c r="A7" s="16">
        <v>20</v>
      </c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6BB-A270-4DD5-A7B3-4DA3A19F8C2F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101</v>
      </c>
      <c r="B1" s="4" t="s">
        <v>102</v>
      </c>
      <c r="C1" s="4" t="s">
        <v>123</v>
      </c>
      <c r="E1" s="17" t="s">
        <v>78</v>
      </c>
    </row>
    <row r="2" spans="1:5" ht="25" customHeight="1" x14ac:dyDescent="0.25">
      <c r="A2" s="16" t="s">
        <v>64</v>
      </c>
      <c r="B2" s="16">
        <v>8</v>
      </c>
      <c r="C2" s="16">
        <v>6</v>
      </c>
      <c r="E2" s="19" t="s">
        <v>124</v>
      </c>
    </row>
    <row r="3" spans="1:5" ht="25" customHeight="1" x14ac:dyDescent="0.25">
      <c r="A3" s="16" t="s">
        <v>65</v>
      </c>
      <c r="B3" s="16">
        <v>12</v>
      </c>
      <c r="C3" s="16">
        <v>9</v>
      </c>
      <c r="E3" s="18"/>
    </row>
    <row r="4" spans="1:5" x14ac:dyDescent="0.25">
      <c r="E4" s="19" t="s">
        <v>125</v>
      </c>
    </row>
    <row r="5" spans="1:5" x14ac:dyDescent="0.25">
      <c r="E5" s="18"/>
    </row>
    <row r="6" spans="1:5" x14ac:dyDescent="0.25">
      <c r="E6" s="18"/>
    </row>
    <row r="7" spans="1:5" x14ac:dyDescent="0.25">
      <c r="E7" s="18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AF17-9EDE-4443-A515-7C5902184423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114</v>
      </c>
      <c r="C1" s="17" t="s">
        <v>78</v>
      </c>
    </row>
    <row r="2" spans="1:3" ht="25" customHeight="1" x14ac:dyDescent="0.25">
      <c r="A2" s="16">
        <v>1</v>
      </c>
      <c r="C2" s="19" t="s">
        <v>126</v>
      </c>
    </row>
    <row r="3" spans="1:3" ht="25" customHeight="1" x14ac:dyDescent="0.25">
      <c r="A3" s="16">
        <v>1</v>
      </c>
      <c r="C3" s="18"/>
    </row>
    <row r="4" spans="1:3" ht="25" customHeight="1" x14ac:dyDescent="0.25">
      <c r="A4" s="16">
        <v>1</v>
      </c>
      <c r="C4" s="19" t="s">
        <v>84</v>
      </c>
    </row>
    <row r="5" spans="1:3" ht="25" customHeight="1" x14ac:dyDescent="0.25">
      <c r="A5" s="16">
        <v>3</v>
      </c>
      <c r="C5" s="18"/>
    </row>
    <row r="6" spans="1:3" ht="25" customHeight="1" x14ac:dyDescent="0.25">
      <c r="A6" s="16">
        <v>4</v>
      </c>
      <c r="C6" s="18"/>
    </row>
    <row r="7" spans="1:3" ht="25" customHeight="1" x14ac:dyDescent="0.25">
      <c r="A7" s="16">
        <v>8</v>
      </c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9A4A-90F3-4E5F-9627-06A9E0C45848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4" t="s">
        <v>127</v>
      </c>
      <c r="B1" s="4" t="s">
        <v>128</v>
      </c>
      <c r="D1" s="17" t="s">
        <v>78</v>
      </c>
    </row>
    <row r="2" spans="1:4" ht="25" customHeight="1" x14ac:dyDescent="0.25">
      <c r="A2" s="16" t="s">
        <v>95</v>
      </c>
      <c r="B2" s="16">
        <v>1</v>
      </c>
      <c r="D2" s="19" t="s">
        <v>129</v>
      </c>
    </row>
    <row r="3" spans="1:4" ht="25" customHeight="1" x14ac:dyDescent="0.25">
      <c r="A3" s="16" t="s">
        <v>96</v>
      </c>
      <c r="B3" s="16">
        <v>2</v>
      </c>
      <c r="D3" s="18"/>
    </row>
    <row r="4" spans="1:4" ht="25" customHeight="1" x14ac:dyDescent="0.25">
      <c r="A4" s="16" t="s">
        <v>97</v>
      </c>
      <c r="B4" s="16">
        <v>3</v>
      </c>
      <c r="D4" s="19" t="s">
        <v>84</v>
      </c>
    </row>
    <row r="5" spans="1:4" ht="25" customHeight="1" x14ac:dyDescent="0.25">
      <c r="A5" s="16" t="s">
        <v>98</v>
      </c>
      <c r="B5" s="16">
        <v>4</v>
      </c>
      <c r="D5" s="18"/>
    </row>
    <row r="6" spans="1:4" x14ac:dyDescent="0.25">
      <c r="D6" s="18"/>
    </row>
    <row r="7" spans="1:4" x14ac:dyDescent="0.25">
      <c r="D7" s="18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0C0C-DDD5-4FCA-A549-ADF405064AB5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2</v>
      </c>
      <c r="C2" s="19" t="s">
        <v>130</v>
      </c>
    </row>
    <row r="3" spans="1:3" ht="25" customHeight="1" x14ac:dyDescent="0.25">
      <c r="A3" s="16">
        <v>4</v>
      </c>
      <c r="C3" s="18"/>
    </row>
    <row r="4" spans="1:3" ht="25" customHeight="1" x14ac:dyDescent="0.25">
      <c r="A4" s="16">
        <v>6</v>
      </c>
      <c r="C4" s="19" t="s">
        <v>84</v>
      </c>
    </row>
    <row r="5" spans="1:3" x14ac:dyDescent="0.25">
      <c r="C5" s="18"/>
    </row>
    <row r="6" spans="1:3" x14ac:dyDescent="0.25">
      <c r="C6" s="18"/>
    </row>
    <row r="7" spans="1:3" x14ac:dyDescent="0.25"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CB03-3DFD-4E8F-8D52-7E42EE8CD11C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1.625" customWidth="1"/>
    <col min="2" max="3" width="22.625" customWidth="1"/>
    <col min="5" max="5" width="60.625" customWidth="1"/>
  </cols>
  <sheetData>
    <row r="1" spans="1:5" ht="46.05" customHeight="1" x14ac:dyDescent="0.25">
      <c r="A1" s="4" t="s">
        <v>131</v>
      </c>
      <c r="B1" s="4" t="s">
        <v>85</v>
      </c>
      <c r="C1" s="4" t="s">
        <v>132</v>
      </c>
      <c r="E1" s="17" t="s">
        <v>78</v>
      </c>
    </row>
    <row r="2" spans="1:5" ht="25" customHeight="1" x14ac:dyDescent="0.25">
      <c r="A2" s="16" t="s">
        <v>133</v>
      </c>
      <c r="B2" s="16">
        <v>8</v>
      </c>
      <c r="C2" s="16" t="s">
        <v>134</v>
      </c>
      <c r="E2" s="19" t="s">
        <v>139</v>
      </c>
    </row>
    <row r="3" spans="1:5" ht="25" customHeight="1" x14ac:dyDescent="0.25">
      <c r="A3" s="16" t="s">
        <v>135</v>
      </c>
      <c r="B3" s="16">
        <v>5</v>
      </c>
      <c r="C3" s="16" t="s">
        <v>136</v>
      </c>
      <c r="E3" s="18"/>
    </row>
    <row r="4" spans="1:5" ht="25" customHeight="1" x14ac:dyDescent="0.25">
      <c r="A4" s="16" t="s">
        <v>137</v>
      </c>
      <c r="B4" s="16">
        <v>6.41</v>
      </c>
      <c r="C4" s="16" t="s">
        <v>134</v>
      </c>
      <c r="E4" s="19" t="s">
        <v>140</v>
      </c>
    </row>
    <row r="5" spans="1:5" ht="25" customHeight="1" x14ac:dyDescent="0.25">
      <c r="A5" s="16" t="s">
        <v>138</v>
      </c>
      <c r="B5" s="16">
        <v>8.01</v>
      </c>
      <c r="C5" s="16" t="s">
        <v>134</v>
      </c>
      <c r="E5" s="18"/>
    </row>
    <row r="6" spans="1:5" x14ac:dyDescent="0.25">
      <c r="E6" s="18"/>
    </row>
    <row r="7" spans="1:5" x14ac:dyDescent="0.25">
      <c r="E7" s="18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F987-4E28-4D9B-98F6-C3BF89C2FD09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2</v>
      </c>
      <c r="C2" s="19" t="s">
        <v>141</v>
      </c>
    </row>
    <row r="3" spans="1:3" ht="25" customHeight="1" x14ac:dyDescent="0.25">
      <c r="A3" s="16">
        <v>3</v>
      </c>
      <c r="C3" s="18"/>
    </row>
    <row r="4" spans="1:3" ht="25" customHeight="1" x14ac:dyDescent="0.25">
      <c r="A4" s="16">
        <v>4</v>
      </c>
      <c r="C4" s="19" t="s">
        <v>142</v>
      </c>
    </row>
    <row r="5" spans="1:3" ht="25" customHeight="1" x14ac:dyDescent="0.25">
      <c r="A5" s="16">
        <v>5</v>
      </c>
      <c r="C5" s="18"/>
    </row>
    <row r="6" spans="1:3" ht="25" customHeight="1" x14ac:dyDescent="0.25">
      <c r="A6" s="16">
        <v>16</v>
      </c>
      <c r="C6" s="18"/>
    </row>
    <row r="7" spans="1:3" x14ac:dyDescent="0.25">
      <c r="C7" s="18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DBCB-FD1E-4CD0-93F3-32FF61BBBD85}">
  <dimension ref="A1:C9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0</v>
      </c>
      <c r="C1" s="17" t="s">
        <v>78</v>
      </c>
    </row>
    <row r="2" spans="1:3" ht="25" customHeight="1" x14ac:dyDescent="0.25">
      <c r="A2" s="16">
        <v>1</v>
      </c>
      <c r="C2" s="19" t="s">
        <v>143</v>
      </c>
    </row>
    <row r="3" spans="1:3" ht="25" customHeight="1" x14ac:dyDescent="0.25">
      <c r="A3" s="16">
        <v>2</v>
      </c>
      <c r="C3" s="18"/>
    </row>
    <row r="4" spans="1:3" ht="25" customHeight="1" x14ac:dyDescent="0.25">
      <c r="A4" s="16">
        <v>2</v>
      </c>
      <c r="C4" s="19" t="s">
        <v>84</v>
      </c>
    </row>
    <row r="5" spans="1:3" ht="25" customHeight="1" x14ac:dyDescent="0.25">
      <c r="A5" s="16">
        <v>3</v>
      </c>
      <c r="C5" s="18"/>
    </row>
    <row r="6" spans="1:3" ht="25" customHeight="1" x14ac:dyDescent="0.25">
      <c r="A6" s="16">
        <v>4</v>
      </c>
      <c r="C6" s="18"/>
    </row>
    <row r="7" spans="1:3" ht="25" customHeight="1" x14ac:dyDescent="0.25">
      <c r="A7" s="16">
        <v>5</v>
      </c>
      <c r="C7" s="18"/>
    </row>
    <row r="8" spans="1:3" ht="25" customHeight="1" x14ac:dyDescent="0.25">
      <c r="A8" s="16">
        <v>6</v>
      </c>
    </row>
    <row r="9" spans="1:3" ht="25" customHeight="1" x14ac:dyDescent="0.25">
      <c r="A9" s="16">
        <v>15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CF7B-1CE2-4E19-99FA-81DCB8D51643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144</v>
      </c>
      <c r="B1" s="4" t="s">
        <v>85</v>
      </c>
      <c r="C1" s="4" t="s">
        <v>132</v>
      </c>
      <c r="E1" s="17" t="s">
        <v>78</v>
      </c>
    </row>
    <row r="2" spans="1:5" ht="25" customHeight="1" x14ac:dyDescent="0.25">
      <c r="A2" s="16" t="s">
        <v>36</v>
      </c>
      <c r="B2" s="16">
        <v>4</v>
      </c>
      <c r="C2" s="16" t="s">
        <v>145</v>
      </c>
      <c r="E2" s="19" t="s">
        <v>149</v>
      </c>
    </row>
    <row r="3" spans="1:5" ht="25" customHeight="1" x14ac:dyDescent="0.25">
      <c r="A3" s="16" t="s">
        <v>52</v>
      </c>
      <c r="B3" s="16">
        <v>1.5</v>
      </c>
      <c r="C3" s="16" t="s">
        <v>145</v>
      </c>
      <c r="E3" s="18"/>
    </row>
    <row r="4" spans="1:5" ht="25" customHeight="1" x14ac:dyDescent="0.25">
      <c r="A4" s="16" t="s">
        <v>38</v>
      </c>
      <c r="B4" s="16">
        <v>3.5</v>
      </c>
      <c r="C4" s="16" t="s">
        <v>145</v>
      </c>
      <c r="E4" s="19" t="s">
        <v>150</v>
      </c>
    </row>
    <row r="5" spans="1:5" ht="25" customHeight="1" x14ac:dyDescent="0.25">
      <c r="A5" s="16" t="s">
        <v>146</v>
      </c>
      <c r="B5" s="16">
        <v>2</v>
      </c>
      <c r="C5" s="16" t="s">
        <v>145</v>
      </c>
      <c r="E5" s="18"/>
    </row>
    <row r="6" spans="1:5" ht="25" customHeight="1" x14ac:dyDescent="0.25">
      <c r="A6" s="16" t="s">
        <v>147</v>
      </c>
      <c r="B6" s="16">
        <v>60</v>
      </c>
      <c r="C6" s="16" t="s">
        <v>148</v>
      </c>
      <c r="E6" s="18"/>
    </row>
    <row r="7" spans="1:5" x14ac:dyDescent="0.25">
      <c r="E7" s="18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D330-EE7C-4E24-9F14-8342558EA776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60</v>
      </c>
      <c r="B1" s="4" t="s">
        <v>151</v>
      </c>
      <c r="C1" s="4" t="s">
        <v>152</v>
      </c>
      <c r="E1" s="17" t="s">
        <v>78</v>
      </c>
    </row>
    <row r="2" spans="1:5" ht="25" customHeight="1" x14ac:dyDescent="0.25">
      <c r="A2" s="16" t="s">
        <v>64</v>
      </c>
      <c r="B2" s="16">
        <v>20</v>
      </c>
      <c r="C2" s="16">
        <v>5</v>
      </c>
      <c r="E2" s="19" t="s">
        <v>153</v>
      </c>
    </row>
    <row r="3" spans="1:5" ht="25" customHeight="1" x14ac:dyDescent="0.25">
      <c r="A3" s="16" t="s">
        <v>65</v>
      </c>
      <c r="B3" s="16">
        <v>0</v>
      </c>
      <c r="C3" s="16">
        <v>5</v>
      </c>
      <c r="E3" s="18"/>
    </row>
    <row r="4" spans="1:5" ht="25" customHeight="1" x14ac:dyDescent="0.25">
      <c r="A4" s="16" t="s">
        <v>66</v>
      </c>
      <c r="B4" s="16">
        <v>0</v>
      </c>
      <c r="C4" s="16">
        <v>5</v>
      </c>
      <c r="E4" s="19" t="s">
        <v>84</v>
      </c>
    </row>
    <row r="5" spans="1:5" ht="25" customHeight="1" x14ac:dyDescent="0.25">
      <c r="A5" s="16" t="s">
        <v>67</v>
      </c>
      <c r="B5" s="16">
        <v>0</v>
      </c>
      <c r="C5" s="16">
        <v>5</v>
      </c>
      <c r="E5" s="18"/>
    </row>
    <row r="6" spans="1:5" x14ac:dyDescent="0.25">
      <c r="E6" s="18"/>
    </row>
    <row r="7" spans="1:5" x14ac:dyDescent="0.25">
      <c r="E7" s="18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C4D8-04A7-4D72-8B62-DB164218B5BA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4" t="s">
        <v>92</v>
      </c>
      <c r="B1" s="4" t="s">
        <v>61</v>
      </c>
      <c r="D1" s="17" t="s">
        <v>78</v>
      </c>
    </row>
    <row r="2" spans="1:4" ht="25" customHeight="1" x14ac:dyDescent="0.25">
      <c r="A2" s="16" t="s">
        <v>64</v>
      </c>
      <c r="B2" s="16">
        <v>4</v>
      </c>
      <c r="D2" s="19" t="s">
        <v>154</v>
      </c>
    </row>
    <row r="3" spans="1:4" ht="25" customHeight="1" x14ac:dyDescent="0.25">
      <c r="A3" s="16" t="s">
        <v>65</v>
      </c>
      <c r="B3" s="16">
        <v>2</v>
      </c>
      <c r="D3" s="18"/>
    </row>
    <row r="4" spans="1:4" ht="25" customHeight="1" x14ac:dyDescent="0.25">
      <c r="A4" s="16" t="s">
        <v>66</v>
      </c>
      <c r="B4" s="16">
        <v>2</v>
      </c>
      <c r="D4" s="19" t="s">
        <v>155</v>
      </c>
    </row>
    <row r="5" spans="1:4" ht="25" customHeight="1" x14ac:dyDescent="0.25">
      <c r="A5" s="16" t="s">
        <v>67</v>
      </c>
      <c r="B5" s="16">
        <v>0</v>
      </c>
      <c r="D5" s="18"/>
    </row>
    <row r="6" spans="1:4" x14ac:dyDescent="0.25">
      <c r="D6" s="18"/>
    </row>
    <row r="7" spans="1:4" x14ac:dyDescent="0.25">
      <c r="D7" s="18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A33C-67F7-4189-8C73-ACBF9B808E17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4" t="s">
        <v>114</v>
      </c>
      <c r="B1" s="4" t="s">
        <v>61</v>
      </c>
      <c r="D1" s="17" t="s">
        <v>78</v>
      </c>
    </row>
    <row r="2" spans="1:4" ht="25" customHeight="1" x14ac:dyDescent="0.25">
      <c r="A2" s="16">
        <v>-2</v>
      </c>
      <c r="B2" s="16">
        <v>4</v>
      </c>
      <c r="D2" s="19" t="s">
        <v>156</v>
      </c>
    </row>
    <row r="3" spans="1:4" ht="25" customHeight="1" x14ac:dyDescent="0.25">
      <c r="A3" s="16">
        <v>-1</v>
      </c>
      <c r="B3" s="16">
        <v>5</v>
      </c>
      <c r="D3" s="18"/>
    </row>
    <row r="4" spans="1:4" ht="25" customHeight="1" x14ac:dyDescent="0.25">
      <c r="A4" s="16">
        <v>1</v>
      </c>
      <c r="B4" s="16">
        <v>10</v>
      </c>
      <c r="D4" s="19" t="s">
        <v>84</v>
      </c>
    </row>
    <row r="5" spans="1:4" ht="25" customHeight="1" x14ac:dyDescent="0.25">
      <c r="A5" s="16">
        <v>3</v>
      </c>
      <c r="B5" s="16">
        <v>1</v>
      </c>
      <c r="D5" s="18"/>
    </row>
    <row r="6" spans="1:4" x14ac:dyDescent="0.25">
      <c r="D6" s="18"/>
    </row>
    <row r="7" spans="1:4" x14ac:dyDescent="0.25">
      <c r="D7" s="18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32</vt:i4>
      </vt:variant>
    </vt:vector>
  </HeadingPairs>
  <TitlesOfParts>
    <vt:vector size="32" baseType="lpstr">
      <vt:lpstr>Prehled</vt:lpstr>
      <vt:lpstr>Priklad</vt:lpstr>
      <vt:lpstr>Souhrn</vt:lpstr>
      <vt:lpstr>Rozsireni</vt:lpstr>
      <vt:lpstr>Kontrola_prikladu</vt:lpstr>
      <vt:lpstr>Data</vt:lpstr>
      <vt:lpstr>Zaklad_data</vt:lpstr>
      <vt:lpstr>Stejny_prumer</vt:lpstr>
      <vt:lpstr>Dva_mody</vt:lpstr>
      <vt:lpstr>Sudy_median</vt:lpstr>
      <vt:lpstr>Percentil_ctyri</vt:lpstr>
      <vt:lpstr>Transformace</vt:lpstr>
      <vt:lpstr>Ordinalni_kvantily</vt:lpstr>
      <vt:lpstr>Vazeny_prumer</vt:lpstr>
      <vt:lpstr>Vyjimky_stredu</vt:lpstr>
      <vt:lpstr>Kvantily</vt:lpstr>
      <vt:lpstr>Orezani</vt:lpstr>
      <vt:lpstr>Boxplot</vt:lpstr>
      <vt:lpstr>Populace</vt:lpstr>
      <vt:lpstr>Spicatost</vt:lpstr>
      <vt:lpstr>U01_stred</vt:lpstr>
      <vt:lpstr>U02_skupiny</vt:lpstr>
      <vt:lpstr>U03_kvantily</vt:lpstr>
      <vt:lpstr>U04_kategorie</vt:lpstr>
      <vt:lpstr>U05_variabilita</vt:lpstr>
      <vt:lpstr>U06_simulace</vt:lpstr>
      <vt:lpstr>U07_MedAD</vt:lpstr>
      <vt:lpstr>U09_boxplot</vt:lpstr>
      <vt:lpstr>U10_transformace</vt:lpstr>
      <vt:lpstr>U11_strategie</vt:lpstr>
      <vt:lpstr>Entropie_data</vt:lpstr>
      <vt:lpstr>U15_sikmost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2026-10-16T23:12:33Z</dcterms:created>
  <dcterms:modified xsi:type="dcterms:W3CDTF">2026-10-16T23:12:44Z</dcterms:modified>
</cp:coreProperties>
</file>